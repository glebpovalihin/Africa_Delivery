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/>
  <mc:AlternateContent xmlns:mc="http://schemas.openxmlformats.org/markup-compatibility/2006">
    <mc:Choice Requires="x15">
      <x15ac:absPath xmlns:x15ac="http://schemas.microsoft.com/office/spreadsheetml/2010/11/ac" url="/Users/povalikhin.go/Documents/education/Africa_Delivery/Task2/"/>
    </mc:Choice>
  </mc:AlternateContent>
  <xr:revisionPtr revIDLastSave="0" documentId="13_ncr:1_{A0F57022-AEB4-9947-A929-6A0677225716}" xr6:coauthVersionLast="47" xr6:coauthVersionMax="47" xr10:uidLastSave="{00000000-0000-0000-0000-000000000000}"/>
  <bookViews>
    <workbookView xWindow="1520" yWindow="660" windowWidth="33040" windowHeight="21680" activeTab="4" xr2:uid="{00000000-000D-0000-FFFF-FFFF00000000}"/>
  </bookViews>
  <sheets>
    <sheet name="Инструкция" sheetId="1" r:id="rId1"/>
    <sheet name="Допущения" sheetId="2" r:id="rId2"/>
    <sheet name="TCO-A-monolit" sheetId="3" r:id="rId3"/>
    <sheet name="TCO-B-cto" sheetId="4" r:id="rId4"/>
    <sheet name="TCO-C1-macr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5" i="5" l="1"/>
  <c r="H55" i="5"/>
  <c r="G55" i="5"/>
  <c r="F55" i="5"/>
  <c r="E55" i="5"/>
  <c r="I53" i="5"/>
  <c r="H53" i="5"/>
  <c r="G53" i="5"/>
  <c r="F53" i="5"/>
  <c r="J53" i="5" s="1"/>
  <c r="E53" i="5"/>
  <c r="I47" i="5" a="1"/>
  <c r="I47" i="5"/>
  <c r="H47" i="5" a="1"/>
  <c r="H47" i="5"/>
  <c r="G47" i="5" a="1"/>
  <c r="G47" i="5" s="1"/>
  <c r="F47" i="5" a="1"/>
  <c r="F47" i="5"/>
  <c r="E47" i="5" a="1"/>
  <c r="E47" i="5" s="1"/>
  <c r="E46" i="5" a="1"/>
  <c r="E46" i="5" s="1"/>
  <c r="J45" i="5"/>
  <c r="E45" i="5" a="1"/>
  <c r="E45" i="5"/>
  <c r="E44" i="5" a="1"/>
  <c r="E44" i="5" s="1"/>
  <c r="J43" i="5"/>
  <c r="E43" i="5" a="1"/>
  <c r="E43" i="5"/>
  <c r="I39" i="5" a="1"/>
  <c r="I39" i="5"/>
  <c r="H39" i="5" a="1"/>
  <c r="H39" i="5" s="1"/>
  <c r="G39" i="5" a="1"/>
  <c r="G39" i="5"/>
  <c r="F39" i="5" a="1"/>
  <c r="F39" i="5"/>
  <c r="E39" i="5" a="1"/>
  <c r="E39" i="5"/>
  <c r="E38" i="5" a="1"/>
  <c r="E38" i="5" s="1"/>
  <c r="E37" i="5" a="1"/>
  <c r="E37" i="5"/>
  <c r="E36" i="5" a="1"/>
  <c r="E36" i="5"/>
  <c r="E35" i="5" a="1"/>
  <c r="E35" i="5" s="1"/>
  <c r="I31" i="5" a="1"/>
  <c r="I31" i="5" s="1"/>
  <c r="H31" i="5" a="1"/>
  <c r="H31" i="5"/>
  <c r="G31" i="5" a="1"/>
  <c r="G31" i="5"/>
  <c r="F31" i="5" a="1"/>
  <c r="F31" i="5"/>
  <c r="E31" i="5" a="1"/>
  <c r="E31" i="5"/>
  <c r="H30" i="5" a="1"/>
  <c r="H30" i="5" s="1"/>
  <c r="G30" i="5" a="1"/>
  <c r="G30" i="5" s="1"/>
  <c r="I28" i="5" a="1"/>
  <c r="I28" i="5" s="1"/>
  <c r="H28" i="5" a="1"/>
  <c r="H28" i="5" s="1"/>
  <c r="I23" i="5" a="1"/>
  <c r="I23" i="5"/>
  <c r="H23" i="5" a="1"/>
  <c r="H23" i="5"/>
  <c r="G23" i="5" a="1"/>
  <c r="G23" i="5"/>
  <c r="F23" i="5" a="1"/>
  <c r="F23" i="5"/>
  <c r="E23" i="5" a="1"/>
  <c r="E23" i="5" s="1"/>
  <c r="E22" i="5" a="1"/>
  <c r="E22" i="5"/>
  <c r="E21" i="5" a="1"/>
  <c r="E21" i="5"/>
  <c r="E19" i="5" a="1"/>
  <c r="E19" i="5"/>
  <c r="E13" i="5" a="1"/>
  <c r="E13" i="5"/>
  <c r="I55" i="4"/>
  <c r="H55" i="4"/>
  <c r="G55" i="4"/>
  <c r="F55" i="4"/>
  <c r="E55" i="4"/>
  <c r="I53" i="4"/>
  <c r="H53" i="4"/>
  <c r="G53" i="4"/>
  <c r="F53" i="4"/>
  <c r="E53" i="4"/>
  <c r="E48" i="4"/>
  <c r="I47" i="4" a="1"/>
  <c r="I47" i="4" s="1"/>
  <c r="H47" i="4" a="1"/>
  <c r="H47" i="4" s="1"/>
  <c r="G47" i="4" a="1"/>
  <c r="G47" i="4"/>
  <c r="F47" i="4" a="1"/>
  <c r="F47" i="4"/>
  <c r="E47" i="4" a="1"/>
  <c r="E47" i="4" s="1"/>
  <c r="E46" i="4" a="1"/>
  <c r="E46" i="4"/>
  <c r="E45" i="4" a="1"/>
  <c r="E45" i="4" s="1"/>
  <c r="J45" i="4" s="1"/>
  <c r="E44" i="4" a="1"/>
  <c r="E44" i="4"/>
  <c r="J43" i="4"/>
  <c r="E43" i="4" a="1"/>
  <c r="E43" i="4"/>
  <c r="I39" i="4" a="1"/>
  <c r="I39" i="4"/>
  <c r="H39" i="4" a="1"/>
  <c r="H39" i="4" s="1"/>
  <c r="G39" i="4" a="1"/>
  <c r="G39" i="4" s="1"/>
  <c r="F39" i="4" a="1"/>
  <c r="F39" i="4" s="1"/>
  <c r="E39" i="4" a="1"/>
  <c r="E39" i="4"/>
  <c r="J39" i="4" s="1"/>
  <c r="E38" i="4" a="1"/>
  <c r="E38" i="4" s="1"/>
  <c r="E37" i="4" a="1"/>
  <c r="E37" i="4"/>
  <c r="E36" i="4" a="1"/>
  <c r="E36" i="4"/>
  <c r="E35" i="4" a="1"/>
  <c r="E35" i="4" s="1"/>
  <c r="I31" i="4" a="1"/>
  <c r="I31" i="4" s="1"/>
  <c r="H31" i="4" a="1"/>
  <c r="H31" i="4" s="1"/>
  <c r="G31" i="4" a="1"/>
  <c r="G31" i="4" s="1"/>
  <c r="F31" i="4" a="1"/>
  <c r="F31" i="4"/>
  <c r="E31" i="4" a="1"/>
  <c r="E31" i="4"/>
  <c r="I29" i="4" a="1"/>
  <c r="I29" i="4" s="1"/>
  <c r="G28" i="4" a="1"/>
  <c r="G28" i="4" s="1"/>
  <c r="F27" i="4" a="1"/>
  <c r="F27" i="4" s="1"/>
  <c r="I23" i="4" a="1"/>
  <c r="I23" i="4" s="1"/>
  <c r="H23" i="4" a="1"/>
  <c r="H23" i="4" s="1"/>
  <c r="G23" i="4" a="1"/>
  <c r="G23" i="4"/>
  <c r="F23" i="4" a="1"/>
  <c r="F23" i="4"/>
  <c r="E23" i="4" a="1"/>
  <c r="E23" i="4" s="1"/>
  <c r="E22" i="4" a="1"/>
  <c r="E22" i="4"/>
  <c r="E21" i="4" a="1"/>
  <c r="E21" i="4" s="1"/>
  <c r="E19" i="4" a="1"/>
  <c r="E19" i="4" s="1"/>
  <c r="E13" i="4" a="1"/>
  <c r="E13" i="4" s="1"/>
  <c r="I10" i="4" a="1"/>
  <c r="I10" i="4" s="1"/>
  <c r="I8" i="4" a="1"/>
  <c r="I8" i="4"/>
  <c r="H8" i="4" a="1"/>
  <c r="H8" i="4"/>
  <c r="G8" i="4" a="1"/>
  <c r="G8" i="4"/>
  <c r="F8" i="4" a="1"/>
  <c r="F8" i="4"/>
  <c r="E8" i="4" a="1"/>
  <c r="E8" i="4"/>
  <c r="J8" i="4" s="1"/>
  <c r="I7" i="4" a="1"/>
  <c r="I7" i="4" s="1"/>
  <c r="I55" i="3"/>
  <c r="H55" i="3"/>
  <c r="G55" i="3"/>
  <c r="F55" i="3"/>
  <c r="E55" i="3"/>
  <c r="I53" i="3"/>
  <c r="J53" i="3" s="1"/>
  <c r="H53" i="3"/>
  <c r="G53" i="3"/>
  <c r="F53" i="3"/>
  <c r="E53" i="3"/>
  <c r="I47" i="3" a="1"/>
  <c r="I47" i="3"/>
  <c r="H47" i="3" a="1"/>
  <c r="H47" i="3" s="1"/>
  <c r="G47" i="3" a="1"/>
  <c r="G47" i="3"/>
  <c r="F47" i="3" a="1"/>
  <c r="F47" i="3"/>
  <c r="E47" i="3" a="1"/>
  <c r="E47" i="3"/>
  <c r="E46" i="3" a="1"/>
  <c r="E46" i="3" s="1"/>
  <c r="E45" i="3" a="1"/>
  <c r="E45" i="3" s="1"/>
  <c r="J45" i="3" s="1"/>
  <c r="E44" i="3" a="1"/>
  <c r="E44" i="3" s="1"/>
  <c r="J43" i="3"/>
  <c r="E43" i="3" a="1"/>
  <c r="E43" i="3"/>
  <c r="I39" i="3" a="1"/>
  <c r="I39" i="3"/>
  <c r="H39" i="3" a="1"/>
  <c r="H39" i="3"/>
  <c r="G39" i="3" a="1"/>
  <c r="G39" i="3"/>
  <c r="F39" i="3" a="1"/>
  <c r="F39" i="3"/>
  <c r="E39" i="3" a="1"/>
  <c r="E39" i="3" s="1"/>
  <c r="F38" i="3" a="1"/>
  <c r="F38" i="3" s="1"/>
  <c r="E38" i="3" a="1"/>
  <c r="E38" i="3" s="1"/>
  <c r="E37" i="3" a="1"/>
  <c r="E37" i="3"/>
  <c r="E36" i="3" a="1"/>
  <c r="E36" i="3" s="1"/>
  <c r="E35" i="3" a="1"/>
  <c r="E35" i="3"/>
  <c r="I31" i="3" a="1"/>
  <c r="I31" i="3"/>
  <c r="H31" i="3" a="1"/>
  <c r="H31" i="3"/>
  <c r="G31" i="3" a="1"/>
  <c r="G31" i="3" s="1"/>
  <c r="F31" i="3" a="1"/>
  <c r="F31" i="3" s="1"/>
  <c r="E31" i="3" a="1"/>
  <c r="E31" i="3"/>
  <c r="I30" i="3" a="1"/>
  <c r="I30" i="3" s="1"/>
  <c r="H30" i="3" a="1"/>
  <c r="H30" i="3" s="1"/>
  <c r="G30" i="3" a="1"/>
  <c r="G30" i="3"/>
  <c r="H29" i="3" a="1"/>
  <c r="H29" i="3"/>
  <c r="G29" i="3" a="1"/>
  <c r="G29" i="3"/>
  <c r="F29" i="3" a="1"/>
  <c r="F29" i="3" s="1"/>
  <c r="H28" i="3" a="1"/>
  <c r="H28" i="3"/>
  <c r="G28" i="3" a="1"/>
  <c r="G28" i="3" s="1"/>
  <c r="F27" i="3" a="1"/>
  <c r="F27" i="3" s="1"/>
  <c r="I23" i="3" a="1"/>
  <c r="I23" i="3" s="1"/>
  <c r="H23" i="3" a="1"/>
  <c r="H23" i="3" s="1"/>
  <c r="G23" i="3" a="1"/>
  <c r="G23" i="3"/>
  <c r="F23" i="3" a="1"/>
  <c r="F23" i="3"/>
  <c r="E23" i="3" a="1"/>
  <c r="E23" i="3"/>
  <c r="J23" i="3" s="1"/>
  <c r="F22" i="3" a="1"/>
  <c r="F22" i="3"/>
  <c r="E22" i="3" a="1"/>
  <c r="E22" i="3" s="1"/>
  <c r="F21" i="3" a="1"/>
  <c r="F21" i="3" s="1"/>
  <c r="E21" i="3" a="1"/>
  <c r="E21" i="3" s="1"/>
  <c r="G20" i="3" a="1"/>
  <c r="G20" i="3" s="1"/>
  <c r="F20" i="3" a="1"/>
  <c r="F20" i="3" s="1"/>
  <c r="F19" i="3" a="1"/>
  <c r="F19" i="3" s="1"/>
  <c r="E19" i="3" a="1"/>
  <c r="E19" i="3" s="1"/>
  <c r="H18" i="3" a="1"/>
  <c r="H18" i="3" s="1"/>
  <c r="E13" i="3" a="1"/>
  <c r="E13" i="3" s="1"/>
  <c r="F12" i="3" a="1"/>
  <c r="F12" i="3"/>
  <c r="H11" i="3" a="1"/>
  <c r="H11" i="3"/>
  <c r="F11" i="3" a="1"/>
  <c r="F11" i="3" s="1"/>
  <c r="H10" i="3" a="1"/>
  <c r="H10" i="3"/>
  <c r="G10" i="3" a="1"/>
  <c r="G10" i="3" s="1"/>
  <c r="H9" i="3" a="1"/>
  <c r="H9" i="3" s="1"/>
  <c r="F9" i="3" a="1"/>
  <c r="F9" i="3" s="1"/>
  <c r="I8" i="3" a="1"/>
  <c r="I8" i="3" s="1"/>
  <c r="H8" i="3" a="1"/>
  <c r="H8" i="3" s="1"/>
  <c r="I7" i="3" a="1"/>
  <c r="I7" i="3"/>
  <c r="H7" i="3" a="1"/>
  <c r="H7" i="3" s="1"/>
  <c r="G7" i="3" a="1"/>
  <c r="G7" i="3" s="1"/>
  <c r="E30" i="2"/>
  <c r="D30" i="2"/>
  <c r="F27" i="5" s="1" a="1"/>
  <c r="F27" i="5" s="1"/>
  <c r="C30" i="2"/>
  <c r="G29" i="2"/>
  <c r="F29" i="2"/>
  <c r="E29" i="2"/>
  <c r="D29" i="2"/>
  <c r="C29" i="2"/>
  <c r="G28" i="2"/>
  <c r="I11" i="4" s="1" a="1"/>
  <c r="I11" i="4" s="1"/>
  <c r="F28" i="2"/>
  <c r="H11" i="4" s="1" a="1"/>
  <c r="H11" i="4" s="1"/>
  <c r="E28" i="2"/>
  <c r="G12" i="3" s="1" a="1"/>
  <c r="G12" i="3" s="1"/>
  <c r="D28" i="2"/>
  <c r="C28" i="2"/>
  <c r="E7" i="3" s="1" a="1"/>
  <c r="E7" i="3" s="1"/>
  <c r="D27" i="2"/>
  <c r="F36" i="4" s="1" a="1"/>
  <c r="F36" i="4" s="1"/>
  <c r="D26" i="2"/>
  <c r="G10" i="2"/>
  <c r="G30" i="2" s="1"/>
  <c r="F10" i="2"/>
  <c r="F30" i="2" s="1"/>
  <c r="E10" i="2"/>
  <c r="D10" i="2"/>
  <c r="C10" i="2"/>
  <c r="J39" i="3" l="1"/>
  <c r="E40" i="3"/>
  <c r="I27" i="4" a="1"/>
  <c r="I27" i="4" s="1"/>
  <c r="I27" i="5" a="1"/>
  <c r="I27" i="5" s="1"/>
  <c r="I27" i="3" a="1"/>
  <c r="I27" i="3" s="1"/>
  <c r="H27" i="4" a="1"/>
  <c r="H27" i="4" s="1"/>
  <c r="H27" i="5" a="1"/>
  <c r="H27" i="5" s="1"/>
  <c r="H27" i="3" a="1"/>
  <c r="H27" i="3" s="1"/>
  <c r="H32" i="3" s="1"/>
  <c r="G27" i="5" a="1"/>
  <c r="G27" i="5" s="1"/>
  <c r="G27" i="4" a="1"/>
  <c r="G27" i="4" s="1"/>
  <c r="F22" i="5" a="1"/>
  <c r="F22" i="5" s="1"/>
  <c r="F19" i="5" a="1"/>
  <c r="F19" i="5" s="1"/>
  <c r="F44" i="4" a="1"/>
  <c r="F44" i="4" s="1"/>
  <c r="F48" i="4" s="1"/>
  <c r="F21" i="4" a="1"/>
  <c r="F21" i="4" s="1"/>
  <c r="F44" i="5" a="1"/>
  <c r="F44" i="5" s="1"/>
  <c r="F22" i="4" a="1"/>
  <c r="F22" i="4" s="1"/>
  <c r="E30" i="5" a="1"/>
  <c r="E30" i="5" s="1"/>
  <c r="E28" i="5" a="1"/>
  <c r="E28" i="5" s="1"/>
  <c r="E30" i="4" a="1"/>
  <c r="E30" i="4" s="1"/>
  <c r="E28" i="4" a="1"/>
  <c r="E28" i="4" s="1"/>
  <c r="E29" i="3" a="1"/>
  <c r="E29" i="3" s="1"/>
  <c r="E30" i="3" a="1"/>
  <c r="E30" i="3" s="1"/>
  <c r="E29" i="5" a="1"/>
  <c r="E29" i="5" s="1"/>
  <c r="E29" i="4" a="1"/>
  <c r="E29" i="4" s="1"/>
  <c r="E28" i="3" a="1"/>
  <c r="E28" i="3" s="1"/>
  <c r="G9" i="4" a="1"/>
  <c r="G9" i="4" s="1"/>
  <c r="F13" i="4" a="1"/>
  <c r="F13" i="4" s="1"/>
  <c r="F19" i="4" a="1"/>
  <c r="F19" i="4" s="1"/>
  <c r="F37" i="3" a="1"/>
  <c r="F37" i="3" s="1"/>
  <c r="E26" i="2"/>
  <c r="F30" i="5" a="1"/>
  <c r="F30" i="5" s="1"/>
  <c r="F29" i="5" a="1"/>
  <c r="F29" i="5" s="1"/>
  <c r="F28" i="5" a="1"/>
  <c r="F28" i="5" s="1"/>
  <c r="F29" i="4" a="1"/>
  <c r="F29" i="4" s="1"/>
  <c r="F28" i="4" a="1"/>
  <c r="F28" i="4" s="1"/>
  <c r="F30" i="4" a="1"/>
  <c r="F30" i="4" s="1"/>
  <c r="F30" i="3" a="1"/>
  <c r="F30" i="3" s="1"/>
  <c r="F13" i="3" a="1"/>
  <c r="F13" i="3" s="1"/>
  <c r="F36" i="3" a="1"/>
  <c r="F36" i="3" s="1"/>
  <c r="G20" i="4" a="1"/>
  <c r="G20" i="4" s="1"/>
  <c r="H10" i="4" a="1"/>
  <c r="H10" i="4" s="1"/>
  <c r="G27" i="3" a="1"/>
  <c r="G27" i="3" s="1"/>
  <c r="G32" i="3" s="1"/>
  <c r="F21" i="5" a="1"/>
  <c r="F21" i="5" s="1"/>
  <c r="E27" i="3" a="1"/>
  <c r="E27" i="3" s="1"/>
  <c r="E27" i="5" a="1"/>
  <c r="E27" i="5" s="1"/>
  <c r="E27" i="4" a="1"/>
  <c r="E27" i="4" s="1"/>
  <c r="G9" i="3" a="1"/>
  <c r="G9" i="3" s="1"/>
  <c r="F36" i="5" a="1"/>
  <c r="F36" i="5" s="1"/>
  <c r="F35" i="5" a="1"/>
  <c r="F35" i="5" s="1"/>
  <c r="F38" i="4" a="1"/>
  <c r="F38" i="4" s="1"/>
  <c r="F46" i="5" a="1"/>
  <c r="F46" i="5" s="1"/>
  <c r="F37" i="4" a="1"/>
  <c r="F37" i="4" s="1"/>
  <c r="F35" i="4" a="1"/>
  <c r="F35" i="4" s="1"/>
  <c r="F40" i="4" s="1"/>
  <c r="F46" i="4" a="1"/>
  <c r="F46" i="4" s="1"/>
  <c r="F35" i="3" a="1"/>
  <c r="F35" i="3" s="1"/>
  <c r="F40" i="3" s="1"/>
  <c r="F38" i="5" a="1"/>
  <c r="F38" i="5" s="1"/>
  <c r="F37" i="5" a="1"/>
  <c r="F37" i="5" s="1"/>
  <c r="E27" i="2"/>
  <c r="E8" i="5" a="1"/>
  <c r="E8" i="5" s="1"/>
  <c r="E11" i="4" a="1"/>
  <c r="E11" i="4" s="1"/>
  <c r="E7" i="5" a="1"/>
  <c r="E7" i="5" s="1"/>
  <c r="E18" i="4" a="1"/>
  <c r="E18" i="4" s="1"/>
  <c r="E10" i="4" a="1"/>
  <c r="E10" i="4" s="1"/>
  <c r="E11" i="5" a="1"/>
  <c r="E11" i="5" s="1"/>
  <c r="E9" i="5" a="1"/>
  <c r="E9" i="5" s="1"/>
  <c r="E20" i="4" a="1"/>
  <c r="E20" i="4" s="1"/>
  <c r="E12" i="4" a="1"/>
  <c r="E12" i="4" s="1"/>
  <c r="E18" i="3" a="1"/>
  <c r="E18" i="3" s="1"/>
  <c r="E10" i="3" a="1"/>
  <c r="E10" i="3" s="1"/>
  <c r="E10" i="5" a="1"/>
  <c r="E10" i="5" s="1"/>
  <c r="E9" i="3" a="1"/>
  <c r="E9" i="3" s="1"/>
  <c r="E18" i="5" a="1"/>
  <c r="E18" i="5" s="1"/>
  <c r="E8" i="3" a="1"/>
  <c r="E8" i="3" s="1"/>
  <c r="J8" i="3" s="1"/>
  <c r="E20" i="5" a="1"/>
  <c r="E20" i="5" s="1"/>
  <c r="E12" i="5" a="1"/>
  <c r="E12" i="5" s="1"/>
  <c r="E9" i="4" a="1"/>
  <c r="E9" i="4" s="1"/>
  <c r="J9" i="4" s="1"/>
  <c r="E20" i="3" a="1"/>
  <c r="E20" i="3" s="1"/>
  <c r="E12" i="3" a="1"/>
  <c r="E12" i="3" s="1"/>
  <c r="J31" i="3"/>
  <c r="F44" i="3" a="1"/>
  <c r="F44" i="3" s="1"/>
  <c r="F9" i="4" a="1"/>
  <c r="F9" i="4" s="1"/>
  <c r="F20" i="5" a="1"/>
  <c r="F20" i="5" s="1"/>
  <c r="F14" i="5" a="1"/>
  <c r="F14" i="5" s="1"/>
  <c r="F12" i="5" a="1"/>
  <c r="F12" i="5" s="1"/>
  <c r="F11" i="5" a="1"/>
  <c r="F11" i="5" s="1"/>
  <c r="F9" i="5" a="1"/>
  <c r="F9" i="5" s="1"/>
  <c r="F20" i="4" a="1"/>
  <c r="F20" i="4" s="1"/>
  <c r="F14" i="4" a="1"/>
  <c r="F14" i="4" s="1"/>
  <c r="F12" i="4" a="1"/>
  <c r="F12" i="4" s="1"/>
  <c r="F7" i="5" a="1"/>
  <c r="F7" i="5" s="1"/>
  <c r="F18" i="4" a="1"/>
  <c r="F18" i="4" s="1"/>
  <c r="F24" i="4" s="1"/>
  <c r="F10" i="4" a="1"/>
  <c r="F10" i="4" s="1"/>
  <c r="F10" i="5" a="1"/>
  <c r="F10" i="5" s="1"/>
  <c r="F8" i="3" a="1"/>
  <c r="F8" i="3" s="1"/>
  <c r="F7" i="3" a="1"/>
  <c r="F7" i="3" s="1"/>
  <c r="F15" i="3" s="1"/>
  <c r="F18" i="5" a="1"/>
  <c r="F18" i="5" s="1"/>
  <c r="F7" i="4" a="1"/>
  <c r="F7" i="4" s="1"/>
  <c r="F11" i="4" a="1"/>
  <c r="F11" i="4" s="1"/>
  <c r="F8" i="5" a="1"/>
  <c r="F8" i="5" s="1"/>
  <c r="F18" i="3" a="1"/>
  <c r="F18" i="3" s="1"/>
  <c r="F24" i="3" s="1"/>
  <c r="F10" i="3" a="1"/>
  <c r="F10" i="3" s="1"/>
  <c r="F32" i="5"/>
  <c r="E11" i="3" a="1"/>
  <c r="E11" i="3" s="1"/>
  <c r="F14" i="3" a="1"/>
  <c r="F14" i="3" s="1"/>
  <c r="E7" i="4" a="1"/>
  <c r="E7" i="4" s="1"/>
  <c r="G7" i="4" a="1"/>
  <c r="G7" i="4" s="1"/>
  <c r="G20" i="5" a="1"/>
  <c r="G20" i="5" s="1"/>
  <c r="G14" i="5" a="1"/>
  <c r="G14" i="5" s="1"/>
  <c r="G12" i="5" a="1"/>
  <c r="G12" i="5" s="1"/>
  <c r="G18" i="5" a="1"/>
  <c r="G18" i="5" s="1"/>
  <c r="G10" i="5" a="1"/>
  <c r="G10" i="5" s="1"/>
  <c r="G9" i="5" a="1"/>
  <c r="G9" i="5" s="1"/>
  <c r="G7" i="5" a="1"/>
  <c r="G7" i="5" s="1"/>
  <c r="G18" i="4" a="1"/>
  <c r="G18" i="4" s="1"/>
  <c r="G10" i="4" a="1"/>
  <c r="G10" i="4" s="1"/>
  <c r="G14" i="4" a="1"/>
  <c r="G14" i="4" s="1"/>
  <c r="G11" i="4" a="1"/>
  <c r="G11" i="4" s="1"/>
  <c r="G11" i="5" a="1"/>
  <c r="G11" i="5" s="1"/>
  <c r="G8" i="5" a="1"/>
  <c r="G8" i="5" s="1"/>
  <c r="G8" i="3" a="1"/>
  <c r="G8" i="3" s="1"/>
  <c r="F32" i="4"/>
  <c r="H20" i="5" a="1"/>
  <c r="H20" i="5" s="1"/>
  <c r="H14" i="5" a="1"/>
  <c r="H14" i="5" s="1"/>
  <c r="H12" i="5" a="1"/>
  <c r="H12" i="5" s="1"/>
  <c r="H11" i="5" a="1"/>
  <c r="H11" i="5" s="1"/>
  <c r="H18" i="5" a="1"/>
  <c r="H18" i="5" s="1"/>
  <c r="H10" i="5" a="1"/>
  <c r="H10" i="5" s="1"/>
  <c r="H8" i="5" a="1"/>
  <c r="H8" i="5" s="1"/>
  <c r="H7" i="5" a="1"/>
  <c r="H7" i="5" s="1"/>
  <c r="H18" i="4" a="1"/>
  <c r="H18" i="4" s="1"/>
  <c r="H14" i="4" a="1"/>
  <c r="H14" i="4" s="1"/>
  <c r="H7" i="4" a="1"/>
  <c r="H7" i="4" s="1"/>
  <c r="H12" i="3" a="1"/>
  <c r="H12" i="3" s="1"/>
  <c r="H9" i="5" a="1"/>
  <c r="H9" i="5" s="1"/>
  <c r="H12" i="4" a="1"/>
  <c r="H12" i="4" s="1"/>
  <c r="H20" i="3" a="1"/>
  <c r="H20" i="3" s="1"/>
  <c r="H14" i="3" a="1"/>
  <c r="H14" i="3" s="1"/>
  <c r="H9" i="4" a="1"/>
  <c r="H9" i="4" s="1"/>
  <c r="H20" i="4" a="1"/>
  <c r="H20" i="4" s="1"/>
  <c r="G14" i="3" a="1"/>
  <c r="G14" i="3" s="1"/>
  <c r="G18" i="3" a="1"/>
  <c r="G18" i="3" s="1"/>
  <c r="F28" i="3" a="1"/>
  <c r="F28" i="3" s="1"/>
  <c r="F32" i="3" s="1"/>
  <c r="G12" i="4" a="1"/>
  <c r="G12" i="4" s="1"/>
  <c r="I18" i="5" a="1"/>
  <c r="I18" i="5" s="1"/>
  <c r="I10" i="5" a="1"/>
  <c r="I10" i="5" s="1"/>
  <c r="I9" i="5" a="1"/>
  <c r="I9" i="5" s="1"/>
  <c r="I20" i="4" a="1"/>
  <c r="I20" i="4" s="1"/>
  <c r="I14" i="4" a="1"/>
  <c r="I14" i="4" s="1"/>
  <c r="I12" i="4" a="1"/>
  <c r="I12" i="4" s="1"/>
  <c r="I8" i="5" a="1"/>
  <c r="I8" i="5" s="1"/>
  <c r="I11" i="5" a="1"/>
  <c r="I11" i="5" s="1"/>
  <c r="I20" i="3" a="1"/>
  <c r="I20" i="3" s="1"/>
  <c r="I14" i="3" a="1"/>
  <c r="I14" i="3" s="1"/>
  <c r="I12" i="3" a="1"/>
  <c r="I12" i="3" s="1"/>
  <c r="I11" i="3" a="1"/>
  <c r="I11" i="3" s="1"/>
  <c r="I20" i="5" a="1"/>
  <c r="I20" i="5" s="1"/>
  <c r="I9" i="4" a="1"/>
  <c r="I9" i="4" s="1"/>
  <c r="I12" i="5" a="1"/>
  <c r="I12" i="5" s="1"/>
  <c r="I18" i="3" a="1"/>
  <c r="I18" i="3" s="1"/>
  <c r="I10" i="3" a="1"/>
  <c r="I10" i="3" s="1"/>
  <c r="I14" i="5" a="1"/>
  <c r="I14" i="5" s="1"/>
  <c r="I7" i="5" a="1"/>
  <c r="I7" i="5" s="1"/>
  <c r="I18" i="4" a="1"/>
  <c r="I18" i="4" s="1"/>
  <c r="I9" i="3" a="1"/>
  <c r="I9" i="3" s="1"/>
  <c r="G11" i="3" a="1"/>
  <c r="G11" i="3" s="1"/>
  <c r="F46" i="3" a="1"/>
  <c r="F46" i="3" s="1"/>
  <c r="F13" i="5" a="1"/>
  <c r="F13" i="5" s="1"/>
  <c r="E48" i="5"/>
  <c r="J53" i="4"/>
  <c r="J31" i="5"/>
  <c r="J23" i="4"/>
  <c r="E40" i="5"/>
  <c r="J39" i="5"/>
  <c r="J47" i="5"/>
  <c r="H29" i="4" a="1"/>
  <c r="H29" i="4" s="1"/>
  <c r="H28" i="4" a="1"/>
  <c r="H28" i="4" s="1"/>
  <c r="H29" i="5" a="1"/>
  <c r="H29" i="5" s="1"/>
  <c r="H30" i="4" a="1"/>
  <c r="H30" i="4" s="1"/>
  <c r="E40" i="4"/>
  <c r="J47" i="4"/>
  <c r="J23" i="5"/>
  <c r="G28" i="5" a="1"/>
  <c r="G28" i="5" s="1"/>
  <c r="G30" i="4" a="1"/>
  <c r="G30" i="4" s="1"/>
  <c r="G29" i="4" a="1"/>
  <c r="G29" i="4" s="1"/>
  <c r="G29" i="5" a="1"/>
  <c r="G29" i="5" s="1"/>
  <c r="I29" i="3" a="1"/>
  <c r="I29" i="3" s="1"/>
  <c r="I30" i="5" a="1"/>
  <c r="I30" i="5" s="1"/>
  <c r="I29" i="5" a="1"/>
  <c r="I29" i="5" s="1"/>
  <c r="I30" i="4" a="1"/>
  <c r="I30" i="4" s="1"/>
  <c r="I28" i="4" a="1"/>
  <c r="I28" i="4" s="1"/>
  <c r="I28" i="3" a="1"/>
  <c r="I28" i="3" s="1"/>
  <c r="E48" i="3"/>
  <c r="J47" i="3"/>
  <c r="J31" i="4"/>
  <c r="J10" i="4" l="1"/>
  <c r="E32" i="5"/>
  <c r="J27" i="5"/>
  <c r="J30" i="4"/>
  <c r="G32" i="5"/>
  <c r="J18" i="5"/>
  <c r="E24" i="5"/>
  <c r="J18" i="4"/>
  <c r="E24" i="4"/>
  <c r="E32" i="3"/>
  <c r="J27" i="3"/>
  <c r="J28" i="5"/>
  <c r="F15" i="5"/>
  <c r="F48" i="3"/>
  <c r="F50" i="3" s="1"/>
  <c r="J9" i="3"/>
  <c r="J7" i="5"/>
  <c r="E15" i="5"/>
  <c r="J30" i="5"/>
  <c r="J10" i="5"/>
  <c r="J11" i="4"/>
  <c r="J7" i="3"/>
  <c r="I32" i="3"/>
  <c r="J14" i="4"/>
  <c r="J10" i="3"/>
  <c r="J8" i="5"/>
  <c r="F40" i="5"/>
  <c r="J28" i="3"/>
  <c r="F48" i="5"/>
  <c r="E15" i="3"/>
  <c r="I32" i="5"/>
  <c r="F15" i="4"/>
  <c r="J12" i="3"/>
  <c r="J18" i="3"/>
  <c r="E24" i="3"/>
  <c r="G46" i="5" a="1"/>
  <c r="G46" i="5" s="1"/>
  <c r="G37" i="4" a="1"/>
  <c r="G37" i="4" s="1"/>
  <c r="G36" i="4" a="1"/>
  <c r="G36" i="4" s="1"/>
  <c r="G35" i="4" a="1"/>
  <c r="G35" i="4" s="1"/>
  <c r="G37" i="5" a="1"/>
  <c r="G37" i="5" s="1"/>
  <c r="G35" i="5" a="1"/>
  <c r="G35" i="5" s="1"/>
  <c r="G38" i="4" a="1"/>
  <c r="G38" i="4" s="1"/>
  <c r="G36" i="5" a="1"/>
  <c r="G36" i="5" s="1"/>
  <c r="F27" i="2"/>
  <c r="G35" i="3" a="1"/>
  <c r="G35" i="3" s="1"/>
  <c r="G38" i="5" a="1"/>
  <c r="G38" i="5" s="1"/>
  <c r="G46" i="4" a="1"/>
  <c r="G46" i="4" s="1"/>
  <c r="G37" i="3" a="1"/>
  <c r="G37" i="3" s="1"/>
  <c r="G38" i="3" a="1"/>
  <c r="G38" i="3" s="1"/>
  <c r="G36" i="3" a="1"/>
  <c r="G36" i="3" s="1"/>
  <c r="G46" i="3" a="1"/>
  <c r="G46" i="3" s="1"/>
  <c r="J29" i="4"/>
  <c r="I32" i="4"/>
  <c r="G15" i="4"/>
  <c r="F24" i="5"/>
  <c r="J20" i="3"/>
  <c r="J12" i="4"/>
  <c r="J29" i="5"/>
  <c r="J20" i="4"/>
  <c r="G22" i="5" a="1"/>
  <c r="G22" i="5" s="1"/>
  <c r="G44" i="3" a="1"/>
  <c r="G44" i="3" s="1"/>
  <c r="G21" i="5" a="1"/>
  <c r="G21" i="5" s="1"/>
  <c r="G13" i="5" a="1"/>
  <c r="G13" i="5" s="1"/>
  <c r="G44" i="5" a="1"/>
  <c r="G44" i="5" s="1"/>
  <c r="G44" i="4" a="1"/>
  <c r="G44" i="4" s="1"/>
  <c r="G22" i="3" a="1"/>
  <c r="G22" i="3" s="1"/>
  <c r="G21" i="4" a="1"/>
  <c r="G21" i="4" s="1"/>
  <c r="G19" i="4" a="1"/>
  <c r="G19" i="4" s="1"/>
  <c r="G19" i="5" a="1"/>
  <c r="G19" i="5" s="1"/>
  <c r="G22" i="4" a="1"/>
  <c r="G22" i="4" s="1"/>
  <c r="G21" i="3" a="1"/>
  <c r="G21" i="3" s="1"/>
  <c r="F26" i="2"/>
  <c r="G19" i="3" a="1"/>
  <c r="G19" i="3" s="1"/>
  <c r="G13" i="3" a="1"/>
  <c r="G13" i="3" s="1"/>
  <c r="G13" i="4" a="1"/>
  <c r="G13" i="4" s="1"/>
  <c r="J30" i="3"/>
  <c r="H32" i="5"/>
  <c r="E15" i="4"/>
  <c r="J7" i="4"/>
  <c r="J14" i="3"/>
  <c r="J12" i="5"/>
  <c r="J9" i="5"/>
  <c r="J29" i="3"/>
  <c r="H32" i="4"/>
  <c r="G15" i="5"/>
  <c r="J11" i="3"/>
  <c r="J14" i="5"/>
  <c r="J20" i="5"/>
  <c r="J11" i="5"/>
  <c r="E32" i="4"/>
  <c r="J27" i="4"/>
  <c r="J28" i="4"/>
  <c r="G32" i="4"/>
  <c r="G48" i="5" l="1"/>
  <c r="G40" i="3"/>
  <c r="J32" i="5"/>
  <c r="H35" i="4" a="1"/>
  <c r="H35" i="4" s="1"/>
  <c r="H38" i="3" a="1"/>
  <c r="H38" i="3" s="1"/>
  <c r="H46" i="4" a="1"/>
  <c r="H46" i="4" s="1"/>
  <c r="H37" i="3" a="1"/>
  <c r="H37" i="3" s="1"/>
  <c r="H38" i="5" a="1"/>
  <c r="H38" i="5" s="1"/>
  <c r="H37" i="5" a="1"/>
  <c r="H37" i="5" s="1"/>
  <c r="H35" i="5" a="1"/>
  <c r="H35" i="5" s="1"/>
  <c r="H38" i="4" a="1"/>
  <c r="H38" i="4" s="1"/>
  <c r="H46" i="5" a="1"/>
  <c r="H46" i="5" s="1"/>
  <c r="H36" i="4" a="1"/>
  <c r="H36" i="4" s="1"/>
  <c r="H37" i="4" a="1"/>
  <c r="H37" i="4" s="1"/>
  <c r="H35" i="3" a="1"/>
  <c r="H35" i="3" s="1"/>
  <c r="G27" i="2"/>
  <c r="H36" i="3" a="1"/>
  <c r="H36" i="3" s="1"/>
  <c r="H36" i="5" a="1"/>
  <c r="H36" i="5" s="1"/>
  <c r="H46" i="3" a="1"/>
  <c r="H46" i="3" s="1"/>
  <c r="E63" i="5"/>
  <c r="E64" i="5"/>
  <c r="E50" i="5"/>
  <c r="J32" i="3"/>
  <c r="G48" i="3"/>
  <c r="F50" i="4"/>
  <c r="F51" i="4" s="1"/>
  <c r="F54" i="4" s="1"/>
  <c r="F56" i="4" s="1"/>
  <c r="H19" i="5" a="1"/>
  <c r="H19" i="5" s="1"/>
  <c r="H22" i="4" a="1"/>
  <c r="H22" i="4" s="1"/>
  <c r="H44" i="5" a="1"/>
  <c r="H44" i="5" s="1"/>
  <c r="H21" i="4" a="1"/>
  <c r="H21" i="4" s="1"/>
  <c r="H44" i="4" a="1"/>
  <c r="H44" i="4" s="1"/>
  <c r="H48" i="4" s="1"/>
  <c r="H21" i="5" a="1"/>
  <c r="H21" i="5" s="1"/>
  <c r="H13" i="5" a="1"/>
  <c r="H13" i="5" s="1"/>
  <c r="H15" i="5" s="1"/>
  <c r="H22" i="3" a="1"/>
  <c r="H22" i="3" s="1"/>
  <c r="H21" i="3" a="1"/>
  <c r="H21" i="3" s="1"/>
  <c r="H13" i="3" a="1"/>
  <c r="H13" i="3" s="1"/>
  <c r="H15" i="3" s="1"/>
  <c r="H22" i="5" a="1"/>
  <c r="H22" i="5" s="1"/>
  <c r="H19" i="4" a="1"/>
  <c r="H19" i="4" s="1"/>
  <c r="H13" i="4" a="1"/>
  <c r="H13" i="4" s="1"/>
  <c r="H15" i="4" s="1"/>
  <c r="H44" i="3" a="1"/>
  <c r="H44" i="3" s="1"/>
  <c r="G26" i="2"/>
  <c r="H19" i="3" a="1"/>
  <c r="H19" i="3" s="1"/>
  <c r="H24" i="3" s="1"/>
  <c r="G24" i="4"/>
  <c r="G40" i="5"/>
  <c r="J32" i="4"/>
  <c r="F50" i="5"/>
  <c r="F51" i="5"/>
  <c r="F54" i="5" s="1"/>
  <c r="F56" i="5" s="1"/>
  <c r="F51" i="3"/>
  <c r="F54" i="3" s="1"/>
  <c r="F56" i="3" s="1"/>
  <c r="E63" i="4"/>
  <c r="E64" i="4"/>
  <c r="E50" i="4"/>
  <c r="E51" i="4" s="1"/>
  <c r="G40" i="4"/>
  <c r="G51" i="4" s="1"/>
  <c r="G54" i="4" s="1"/>
  <c r="G56" i="4" s="1"/>
  <c r="E50" i="3"/>
  <c r="E63" i="3"/>
  <c r="E64" i="3"/>
  <c r="G50" i="5"/>
  <c r="G51" i="5" s="1"/>
  <c r="G54" i="5" s="1"/>
  <c r="G56" i="5" s="1"/>
  <c r="G24" i="5"/>
  <c r="G15" i="3"/>
  <c r="G24" i="3"/>
  <c r="G48" i="4"/>
  <c r="G50" i="4" s="1"/>
  <c r="E54" i="4" l="1"/>
  <c r="J44" i="5"/>
  <c r="J48" i="5" s="1"/>
  <c r="J22" i="5"/>
  <c r="I44" i="5" a="1"/>
  <c r="I44" i="5" s="1"/>
  <c r="I21" i="4" a="1"/>
  <c r="I21" i="4" s="1"/>
  <c r="J21" i="4" s="1"/>
  <c r="I13" i="4" a="1"/>
  <c r="I13" i="4" s="1"/>
  <c r="I15" i="4" s="1"/>
  <c r="I19" i="4" a="1"/>
  <c r="I19" i="4" s="1"/>
  <c r="I21" i="5" a="1"/>
  <c r="I21" i="5" s="1"/>
  <c r="J21" i="5" s="1"/>
  <c r="I13" i="5" a="1"/>
  <c r="I13" i="5" s="1"/>
  <c r="I19" i="5" a="1"/>
  <c r="I19" i="5" s="1"/>
  <c r="I22" i="4" a="1"/>
  <c r="I22" i="4" s="1"/>
  <c r="J22" i="4" s="1"/>
  <c r="I44" i="3" a="1"/>
  <c r="I44" i="3" s="1"/>
  <c r="I19" i="3" a="1"/>
  <c r="I19" i="3" s="1"/>
  <c r="J19" i="3" s="1"/>
  <c r="I22" i="5" a="1"/>
  <c r="I22" i="5" s="1"/>
  <c r="I44" i="4" a="1"/>
  <c r="I44" i="4" s="1"/>
  <c r="I22" i="3" a="1"/>
  <c r="I22" i="3" s="1"/>
  <c r="J22" i="3" s="1"/>
  <c r="I13" i="3" a="1"/>
  <c r="I13" i="3" s="1"/>
  <c r="I15" i="3" s="1"/>
  <c r="I21" i="3" a="1"/>
  <c r="I21" i="3" s="1"/>
  <c r="J21" i="3" s="1"/>
  <c r="G50" i="3"/>
  <c r="J37" i="3"/>
  <c r="H48" i="5"/>
  <c r="I35" i="3" a="1"/>
  <c r="I35" i="3" s="1"/>
  <c r="I38" i="5" a="1"/>
  <c r="I38" i="5" s="1"/>
  <c r="J38" i="5" s="1"/>
  <c r="I37" i="5" a="1"/>
  <c r="I37" i="5" s="1"/>
  <c r="J37" i="5" s="1"/>
  <c r="I36" i="5" a="1"/>
  <c r="I36" i="5" s="1"/>
  <c r="J36" i="5" s="1"/>
  <c r="I35" i="5" a="1"/>
  <c r="I35" i="5" s="1"/>
  <c r="I38" i="4" a="1"/>
  <c r="I38" i="4" s="1"/>
  <c r="J38" i="4" s="1"/>
  <c r="I36" i="4" a="1"/>
  <c r="I36" i="4" s="1"/>
  <c r="J36" i="4" s="1"/>
  <c r="I46" i="4" a="1"/>
  <c r="I46" i="4" s="1"/>
  <c r="J46" i="4" s="1"/>
  <c r="I37" i="3" a="1"/>
  <c r="I37" i="3" s="1"/>
  <c r="I46" i="3" a="1"/>
  <c r="I46" i="3" s="1"/>
  <c r="J46" i="3" s="1"/>
  <c r="I36" i="3" a="1"/>
  <c r="I36" i="3" s="1"/>
  <c r="J36" i="3" s="1"/>
  <c r="I46" i="5" a="1"/>
  <c r="I46" i="5" s="1"/>
  <c r="J46" i="5" s="1"/>
  <c r="I37" i="4" a="1"/>
  <c r="I37" i="4" s="1"/>
  <c r="J37" i="4" s="1"/>
  <c r="I38" i="3" a="1"/>
  <c r="I38" i="3" s="1"/>
  <c r="J38" i="3" s="1"/>
  <c r="I35" i="4" a="1"/>
  <c r="I35" i="4" s="1"/>
  <c r="I40" i="4" s="1"/>
  <c r="H48" i="3"/>
  <c r="H50" i="3" s="1"/>
  <c r="H51" i="3" s="1"/>
  <c r="H54" i="3" s="1"/>
  <c r="H56" i="3" s="1"/>
  <c r="H24" i="4"/>
  <c r="H40" i="3"/>
  <c r="H24" i="5"/>
  <c r="H50" i="5" s="1"/>
  <c r="H40" i="4"/>
  <c r="H50" i="4" s="1"/>
  <c r="E51" i="5"/>
  <c r="E51" i="3"/>
  <c r="J35" i="3"/>
  <c r="H40" i="5"/>
  <c r="H51" i="4" l="1"/>
  <c r="J24" i="3"/>
  <c r="E54" i="5"/>
  <c r="I15" i="5"/>
  <c r="J13" i="5"/>
  <c r="J15" i="5" s="1"/>
  <c r="J40" i="3"/>
  <c r="J13" i="4"/>
  <c r="J15" i="4" s="1"/>
  <c r="E54" i="3"/>
  <c r="J35" i="4"/>
  <c r="J40" i="4" s="1"/>
  <c r="G51" i="3"/>
  <c r="G54" i="3" s="1"/>
  <c r="G56" i="3" s="1"/>
  <c r="I24" i="5"/>
  <c r="J19" i="5"/>
  <c r="J24" i="5" s="1"/>
  <c r="I40" i="5"/>
  <c r="J35" i="5"/>
  <c r="J40" i="5" s="1"/>
  <c r="I24" i="4"/>
  <c r="J19" i="4"/>
  <c r="J24" i="4" s="1"/>
  <c r="I50" i="4"/>
  <c r="J50" i="4" s="1"/>
  <c r="I51" i="4"/>
  <c r="I40" i="3"/>
  <c r="I48" i="4"/>
  <c r="J44" i="4"/>
  <c r="J48" i="4" s="1"/>
  <c r="I48" i="5"/>
  <c r="J13" i="3"/>
  <c r="J15" i="3" s="1"/>
  <c r="H51" i="5"/>
  <c r="H54" i="5" s="1"/>
  <c r="H56" i="5" s="1"/>
  <c r="I24" i="3"/>
  <c r="E56" i="4"/>
  <c r="I48" i="3"/>
  <c r="J44" i="3"/>
  <c r="J48" i="3" s="1"/>
  <c r="I50" i="5" l="1"/>
  <c r="J50" i="5" s="1"/>
  <c r="I51" i="5"/>
  <c r="E56" i="5"/>
  <c r="E66" i="4"/>
  <c r="I54" i="4"/>
  <c r="I56" i="4" s="1"/>
  <c r="K24" i="4"/>
  <c r="E70" i="4"/>
  <c r="H54" i="4"/>
  <c r="J51" i="4"/>
  <c r="E56" i="3"/>
  <c r="I50" i="3"/>
  <c r="J50" i="3" s="1"/>
  <c r="E68" i="4"/>
  <c r="E66" i="5" l="1"/>
  <c r="I54" i="5"/>
  <c r="J51" i="5"/>
  <c r="E62" i="4"/>
  <c r="E59" i="4"/>
  <c r="E67" i="4"/>
  <c r="E65" i="4"/>
  <c r="E69" i="4"/>
  <c r="K32" i="4"/>
  <c r="H56" i="4"/>
  <c r="J56" i="4" s="1"/>
  <c r="E61" i="4" s="1"/>
  <c r="J54" i="4"/>
  <c r="E60" i="4" s="1"/>
  <c r="K48" i="4"/>
  <c r="K15" i="4"/>
  <c r="K40" i="4"/>
  <c r="I51" i="3"/>
  <c r="E66" i="3" l="1"/>
  <c r="I54" i="3"/>
  <c r="J51" i="3"/>
  <c r="E59" i="5"/>
  <c r="E67" i="5"/>
  <c r="E65" i="5"/>
  <c r="E62" i="5"/>
  <c r="K32" i="5"/>
  <c r="E69" i="5"/>
  <c r="K48" i="5"/>
  <c r="K15" i="5"/>
  <c r="E68" i="5"/>
  <c r="E70" i="5"/>
  <c r="K40" i="5"/>
  <c r="K24" i="5"/>
  <c r="I56" i="5"/>
  <c r="J56" i="5" s="1"/>
  <c r="E61" i="5" s="1"/>
  <c r="J54" i="5"/>
  <c r="E60" i="5" s="1"/>
  <c r="E65" i="3" l="1"/>
  <c r="E59" i="3"/>
  <c r="E67" i="3"/>
  <c r="E62" i="3"/>
  <c r="K32" i="3"/>
  <c r="E69" i="3"/>
  <c r="K40" i="3"/>
  <c r="E70" i="3"/>
  <c r="E68" i="3"/>
  <c r="K24" i="3"/>
  <c r="K15" i="3"/>
  <c r="K48" i="3"/>
  <c r="I56" i="3"/>
  <c r="J56" i="3" s="1"/>
  <c r="E61" i="3" s="1"/>
  <c r="J54" i="3"/>
  <c r="E60" i="3" s="1"/>
</calcChain>
</file>

<file path=xl/sharedStrings.xml><?xml version="1.0" encoding="utf-8"?>
<sst xmlns="http://schemas.openxmlformats.org/spreadsheetml/2006/main" count="523" uniqueCount="234">
  <si>
    <t>Модель TCO (Total Cost of Ownership) — кейс «Africa Delivery», горизонт 5 лет</t>
  </si>
  <si>
    <t>Зачем этот файл</t>
  </si>
  <si>
    <t>Задача</t>
  </si>
  <si>
    <t>Оценить полную стоимость владения выбранным архитектурным вариантом на 5 лет и использовать цифры как аргумент в ADR №1 («Выбор архитектурного стиля»).</t>
  </si>
  <si>
    <t>Как использовать</t>
  </si>
  <si>
    <t>Заполни один и тот же шаблон для каждого рассматриваемого варианта (например: модульный монолит / SOA / микросервисы) — сравнивать нужно итоги, а не ощущения.</t>
  </si>
  <si>
    <t>Цветовая легенда</t>
  </si>
  <si>
    <t>Синий текст на жёлтом фоне</t>
  </si>
  <si>
    <t>Ячейки для заполнения. Только их и редактируем.</t>
  </si>
  <si>
    <t>Чёрный текст</t>
  </si>
  <si>
    <t>Формулы. Не трогаем — пересчитаются сами.</t>
  </si>
  <si>
    <t>Зелёный текст</t>
  </si>
  <si>
    <t>Ссылка на лист «Допущения».</t>
  </si>
  <si>
    <t>Порядок работы</t>
  </si>
  <si>
    <t>Шаг 1</t>
  </si>
  <si>
    <t>Лист «Допущения» → блок 1: вбить драйверы бизнеса по годам (активные пользователи, число заказов, средний чек). Из них считается GMV.</t>
  </si>
  <si>
    <t>Шаг 2</t>
  </si>
  <si>
    <t>Лист «Допущения» → блок 2: финансовые допущения (инфляция, рост ФОТ, ставка дисконтирования, резерв, целевой SLO).</t>
  </si>
  <si>
    <t>Шаг 3</t>
  </si>
  <si>
    <t>Лист «TCO» → в колонке «База, $/год (Год 1)» указать затраты первого года по каждой статье. Лишние статьи оставить пустыми, свои — дописать в свободные строки.</t>
  </si>
  <si>
    <t>Шаг 4</t>
  </si>
  <si>
    <t>Лист «TCO» → в колонке «Драйвер роста» выбрать из выпадающего списка, от чего растёт статья: фикс / инфляция / ФОТ / пользователи / заказы / GMV. Годы 2–5 посчитаются сами.</t>
  </si>
  <si>
    <t>Шаг 5</t>
  </si>
  <si>
    <t>Посмотреть блок «Ключевые метрики» внизу листа «TCO»: итог за 5 лет, NPV, стоимость на заказ, проверку бюджета CFO ($9k/мес на облако).</t>
  </si>
  <si>
    <t>Что важно не забыть в этом кейсе</t>
  </si>
  <si>
    <t>Бюджет CFO</t>
  </si>
  <si>
    <t>$9 000/мес на облако на старте. Если Год 1 в блоке «Облачная инфраструктура» не проходит — это архитектурное решение, а не ошибка модели: опиши, что урезаешь.</t>
  </si>
  <si>
    <t>Цена простоя</t>
  </si>
  <si>
    <t>Инвестор оценивает минуту простоя в $12 000. Целевой SLO 99,99% = 52,6 мин/год ≈ $631k. Этот риск считается отдельным блоком — сравни его со стоимостью резервирования.</t>
  </si>
  <si>
    <t>Транзакционные расходы</t>
  </si>
  <si>
    <t>Комиссии M-Pesa / Flutterwave / Paystack, SMS и WhatsApp растут с GMV и числом заказов и на горизонте 5 лет обычно обгоняют инфраструктуру. Не забудь их — это типичная ошибка.</t>
  </si>
  <si>
    <t>Сравнение вариантов</t>
  </si>
  <si>
    <t>Транзакционные расходы (блок 3) почти одинаковы для любой архитектуры — это pass-through от оборота. Варианты архитектуры сравнивай по блокам 1, 2, 4 и 6.</t>
  </si>
  <si>
    <t>Разовые затраты</t>
  </si>
  <si>
    <t>Комплаенс-аудит NDPR/POPIA, пентест, миграция — если статья возникает не каждый год, просто перезапиши формулу в нужной ячейке года числом (и покрась в синий).</t>
  </si>
  <si>
    <t>Люди</t>
  </si>
  <si>
    <t>ФОТ команды — обычно самая крупная статья TCO. Микросервисы дешевле в масштабировании, но дороже в эксплуатации: это должно быть видно в цифрах, а не только в тексте ADR.</t>
  </si>
  <si>
    <t>Все числа в файле — примеры для демонстрации формата. Замени их своими оценками и укажи источник в колонке «Комментарий / источник».</t>
  </si>
  <si>
    <t>Допущения модели TCO — Africa Delivery</t>
  </si>
  <si>
    <t>Заполняются только ячейки с жёлтой заливкой. Все числа ниже — пример, заменить своими.</t>
  </si>
  <si>
    <t>1. Драйверы бизнеса — заполнить</t>
  </si>
  <si>
    <t>Показатель</t>
  </si>
  <si>
    <t>Год 1</t>
  </si>
  <si>
    <t>Год 2</t>
  </si>
  <si>
    <t>Год 3</t>
  </si>
  <si>
    <t>Год 4</t>
  </si>
  <si>
    <t>Год 5</t>
  </si>
  <si>
    <t>Комментарий / источник</t>
  </si>
  <si>
    <t>Активные пользователи (на конец года)</t>
  </si>
  <si>
    <t>Год 1: 1M+ регистраций (цель бизнеса), активные - доля; год 5: путь к 10M (артефакт 5)</t>
  </si>
  <si>
    <t>Число заказов в год</t>
  </si>
  <si>
    <t>Год 1: пилот 2k заказов/день в пике (Task1 Q1); рост с выходом в 5 стран</t>
  </si>
  <si>
    <t>Средний чек (AOV), $</t>
  </si>
  <si>
    <t>Оценка по рынку Jumia/Takealot, low-price стратегия (описание кейса)</t>
  </si>
  <si>
    <t>GMV, $ в год (расчёт)</t>
  </si>
  <si>
    <t>Расчёт: заказы × средний чек</t>
  </si>
  <si>
    <t>2. Финансовые допущения — заполнить</t>
  </si>
  <si>
    <t>Параметр</t>
  </si>
  <si>
    <t>Значение</t>
  </si>
  <si>
    <t>Инфляция затрат, % в год</t>
  </si>
  <si>
    <t>Применяется к статьям с драйвером «инфляция»</t>
  </si>
  <si>
    <t>Рост ФОТ, % в год</t>
  </si>
  <si>
    <t>Дефицит ИТ-специалистов на рынке — рост выше инфляции</t>
  </si>
  <si>
    <t>Ставка дисконтирования, % в год</t>
  </si>
  <si>
    <t>Для расчёта NPV затрат. Стартап, высокий риск</t>
  </si>
  <si>
    <t>Резерв на непредвиденное (contingency), %</t>
  </si>
  <si>
    <t>Надбавка к прямым затратам</t>
  </si>
  <si>
    <t>Бюджет CFO на облако, $/мес</t>
  </si>
  <si>
    <t>Жесткий потолок $5k/мес (артефакт 6)</t>
  </si>
  <si>
    <t>Стоимость минуты простоя, $</t>
  </si>
  <si>
    <t>Оценка инвестора из условия кейса</t>
  </si>
  <si>
    <t>Целевой SLO (доступность), %</t>
  </si>
  <si>
    <t>Дифференцированный SLO: 99,9% на контур заказа (Task1, противоречие 1)</t>
  </si>
  <si>
    <t>Учитывать стоимость простоя в TCO (1 — да, 0 — нет)</t>
  </si>
  <si>
    <t>Стоимость простоя считаем отдельным сценарием в ADR-001, в TCO не включаем</t>
  </si>
  <si>
    <t>3. Индексы роста — расчёт, не редактировать</t>
  </si>
  <si>
    <t>Драйвер</t>
  </si>
  <si>
    <t>Как считается</t>
  </si>
  <si>
    <t>фикс</t>
  </si>
  <si>
    <t>Затраты не меняются по годам</t>
  </si>
  <si>
    <t>инфляция</t>
  </si>
  <si>
    <t>Год N = Год N-1 × (1 + инфляция)</t>
  </si>
  <si>
    <t>ФОТ</t>
  </si>
  <si>
    <t>Год N = Год N-1 × (1 + рост ФОТ)</t>
  </si>
  <si>
    <t>пользователи</t>
  </si>
  <si>
    <t>Пропорционально числу активных пользователей</t>
  </si>
  <si>
    <t>заказы</t>
  </si>
  <si>
    <t>Пропорционально числу заказов</t>
  </si>
  <si>
    <t>GMV</t>
  </si>
  <si>
    <t>Пропорционально обороту</t>
  </si>
  <si>
    <t>Драйвер «пользователи» — упрощение: облачные расходы редко растут строго линейно (есть эффект масштаба и обратный эффект — рост нагрузки на БД). При желании введи свой драйвер отдельной строкой в таблице индексов.</t>
  </si>
  <si>
    <t>TCO на 5 лет - Africa Delivery - вариант TCO-A-monolit</t>
  </si>
  <si>
    <t>Заполняем колонки «Драйвер роста» и «База, $/год (Год 1)». Годы 1–5 считаются автоматически.</t>
  </si>
  <si>
    <t>Статья затрат</t>
  </si>
  <si>
    <t>Драйвер роста</t>
  </si>
  <si>
    <t>База, $/год (Год 1)</t>
  </si>
  <si>
    <t>Итого 5 лет</t>
  </si>
  <si>
    <t>Доля</t>
  </si>
  <si>
    <t>БЛОК 1. Облачная инфраструктура (OpEx)</t>
  </si>
  <si>
    <t>Compute: ноды / контейнеры / serverless</t>
  </si>
  <si>
    <t>2-3 ноды монолита + автомасштаб, managed containers</t>
  </si>
  <si>
    <t>Управляемые БД (PostgreSQL, реплики)</t>
  </si>
  <si>
    <t>Managed PostgreSQL + read replica (вкл. дашборд CEO в год 1)</t>
  </si>
  <si>
    <t>Хранилище объектов и резервные копии</t>
  </si>
  <si>
    <t>S3-совместимое хранилище, фото 5000 SKU, бэкапы</t>
  </si>
  <si>
    <t>CDN и исходящий трафик</t>
  </si>
  <si>
    <t>CDN, картинки WebP, мобильный трафик 3G/4G</t>
  </si>
  <si>
    <t>Очереди / стриминг (Kafka, SQS)</t>
  </si>
  <si>
    <t>Managed очередь (SQS/Pub/Sub), без self-hosted Kafka</t>
  </si>
  <si>
    <t>Резервный регион / DR</t>
  </si>
  <si>
    <t>Локальное размещение данных (NDPR, Нигерия)</t>
  </si>
  <si>
    <t>Локальный провайдер в Нигерии под ПДн (артефакт 3, ADR-003)</t>
  </si>
  <si>
    <t>Аналитическая реплика / витрина (OLAP)</t>
  </si>
  <si>
    <t>Аналитическая реплика/витрина OLAP(ЛК продавца, B2B-отчеты) со второго года</t>
  </si>
  <si>
    <t>Итого по блоку</t>
  </si>
  <si>
    <t>БЛОК 2. Лицензии, SaaS и инструменты</t>
  </si>
  <si>
    <t>Observability (метрики, логи, трейсинг)</t>
  </si>
  <si>
    <t>Grafana Cloud free tier + self-hosted OSS стек</t>
  </si>
  <si>
    <t>CI/CD, репозиторий, артефакты</t>
  </si>
  <si>
    <t>GitHub Team на 8-10 человек</t>
  </si>
  <si>
    <t>Безопасность: WAF, секреты, антифрод</t>
  </si>
  <si>
    <t>Cloud WAF + секреты; антифрод - правила в монолите</t>
  </si>
  <si>
    <t>WhatsApp Business API (подписка)</t>
  </si>
  <si>
    <t>WhatsApp Business API подписка</t>
  </si>
  <si>
    <t>Прочее ПО и подписки</t>
  </si>
  <si>
    <t>Таск-трекер, дизайн, аналитика</t>
  </si>
  <si>
    <t>Своя статья</t>
  </si>
  <si>
    <t>БЛОК 3. Транзакционные расходы (Buy / Partner)</t>
  </si>
  <si>
    <t>Комиссии платёжных провайдеров</t>
  </si>
  <si>
    <t>SMS-уведомления</t>
  </si>
  <si>
    <t>$0,04 x 2 смс на заказ (заказ + доставка)</t>
  </si>
  <si>
    <t>WhatsApp-сообщения (за диалог)</t>
  </si>
  <si>
    <t>WhatsApp conversations для части заказов</t>
  </si>
  <si>
    <t>Логистика: интеграции и комиссии партнёров</t>
  </si>
  <si>
    <t>$0,5/заказ комиссии Sendbox/Sendy за API и интеграции</t>
  </si>
  <si>
    <t>БЛОК 4. Команда (ФОТ)</t>
  </si>
  <si>
    <t>Разработка (FTE × годовая ставка)</t>
  </si>
  <si>
    <t>6 контракторов x $60k (артефакт 6: наем заморожен)</t>
  </si>
  <si>
    <t>DevOps / SRE</t>
  </si>
  <si>
    <t>0,5 FTE DevOps, монолит не требует выделенного SRE</t>
  </si>
  <si>
    <t>Поддержка и дежурства 24/7</t>
  </si>
  <si>
    <t>Надбавки за дежурства внутри команды</t>
  </si>
  <si>
    <t>Архитектура и менеджмент</t>
  </si>
  <si>
    <t>Solution Architect + CTO-функция</t>
  </si>
  <si>
    <t>БЛОК 5. Разовые затраты и комплаенс</t>
  </si>
  <si>
    <t>Юридический и комплаенс-аудит (NDPR, POPIA, KICA)</t>
  </si>
  <si>
    <t>Комплаенс-аудит NDPR/POPIA/KICA, разовый (год 1)</t>
  </si>
  <si>
    <t>Пентест и аудит безопасности</t>
  </si>
  <si>
    <t>Пентест ежегодно</t>
  </si>
  <si>
    <t>Миграция данных и интеграции при запуске</t>
  </si>
  <si>
    <t>Интеграции при запуске, разовые (год 1)</t>
  </si>
  <si>
    <t>Обучение команды и найм</t>
  </si>
  <si>
    <t>Обучение команды</t>
  </si>
  <si>
    <t>Резерв на непредвиденное (contingency)</t>
  </si>
  <si>
    <t>Расчёт: сумма блоков 1–5 × ставка резерва с листа «Допущения»</t>
  </si>
  <si>
    <t>ИТОГО прямые затраты (TCO без учёта простоев)</t>
  </si>
  <si>
    <t>БЛОК 6. Стоимость недоступности (риск)</t>
  </si>
  <si>
    <t>Ожидаемые потери из-за простоя при целевом SLO</t>
  </si>
  <si>
    <t>Расчёт: (1 − SLO) × 525 600 мин/год × стоимость минуты × переключатель. 525 600 — число минут в году</t>
  </si>
  <si>
    <t>ИТОГО TCO с учётом стоимости простоя</t>
  </si>
  <si>
    <t>Коэффициент дисконтирования</t>
  </si>
  <si>
    <t>Дисконтированный TCO (NPV затрат)</t>
  </si>
  <si>
    <t>Ключевые метрики</t>
  </si>
  <si>
    <t>TCO за 5 лет, прямые затраты</t>
  </si>
  <si>
    <t>Основная цифра для сравнения вариантов в ADR</t>
  </si>
  <si>
    <t>TCO за 5 лет с учётом простоя</t>
  </si>
  <si>
    <t>Показывает цену недоступности для mission critical</t>
  </si>
  <si>
    <t>NPV затрат за 5 лет</t>
  </si>
  <si>
    <t>Затраты, приведённые к сегодняшнему дню</t>
  </si>
  <si>
    <t>Средние затраты в год</t>
  </si>
  <si>
    <t>Ориентир для планирования бюджета</t>
  </si>
  <si>
    <t>Облако, $/мес в Год 1</t>
  </si>
  <si>
    <t>Сравнивается с лимитом CFO</t>
  </si>
  <si>
    <t>Проверка бюджета CFO на Год 1</t>
  </si>
  <si>
    <t>Если превышение — объясни в ADR, чем жертвуешь</t>
  </si>
  <si>
    <t>TCO на 1 заказ за 5 лет</t>
  </si>
  <si>
    <t>Юнит-экономика: сколько ИТ стоит в одном заказе</t>
  </si>
  <si>
    <t>TCO на 1 активного пользователя (Год 5)</t>
  </si>
  <si>
    <t>Проверка масштабируемости модели</t>
  </si>
  <si>
    <t>Затраты ИТ как доля GMV за 5 лет</t>
  </si>
  <si>
    <t>Здоровый маркетплейс — единицы процентов</t>
  </si>
  <si>
    <t>Доля облачной инфраструктуры в TCO</t>
  </si>
  <si>
    <t>Обычно меньше, чем ожидают студенты</t>
  </si>
  <si>
    <t>Доля транзакционных расходов в TCO</t>
  </si>
  <si>
    <t>Растёт быстрее всего вместе с GMV</t>
  </si>
  <si>
    <t>Доля команды (ФОТ) в TCO</t>
  </si>
  <si>
    <t>Как правило, крупнейшая статья</t>
  </si>
  <si>
    <t>Вывод для ADR (заполнить текстом): какой вариант дешевле, за счёт чего, и какие допущения сильнее всего влияют на результат?</t>
  </si>
  <si>
    <t>Вариант A: минимальные TCO и ФОТ, укладывается в $5k/мес. Точка пересмотра: 3M активных пользователей или год 2.</t>
  </si>
  <si>
    <t>TCO на 5 лет - Africa Delivery - вариант TCO-B-cto</t>
  </si>
  <si>
    <t>3 кластера K8s (2 региона + on-prem), 9-12 нод (артефакт 5)</t>
  </si>
  <si>
    <t>Oracle SE2 лицензии+поддержка ~$40k + PostgreSQL для периферии (артефакт 5)</t>
  </si>
  <si>
    <t>Хранилище + бэкапы в 2 регионах</t>
  </si>
  <si>
    <t>CDN и трафик</t>
  </si>
  <si>
    <t>Self-hosted Kafka кластер (3 брокера)</t>
  </si>
  <si>
    <t>Active-active второй регион, RPO=0 (артефакт 5)</t>
  </si>
  <si>
    <t>On-prem кластер в Нигерии под ПДн (артефакт 5)</t>
  </si>
  <si>
    <t>Аналитический стек (ClickHouse/Druid, CDC из Kafka) - с года 2</t>
  </si>
  <si>
    <t>Self-hosted observability стек: Prometheus/Grafana/Jaeger/Loki - compute</t>
  </si>
  <si>
    <t>GitHub + ArgoCD self-hosted инфраструктура</t>
  </si>
  <si>
    <t>WAF, секреты, mTLS Istio операционные расходы</t>
  </si>
  <si>
    <t>Прочее ПО</t>
  </si>
  <si>
    <t>Идентично для всех вариантов</t>
  </si>
  <si>
    <t>Идентично</t>
  </si>
  <si>
    <t>12 разработчиков x $70k - наем вопреки заморозке (артефакты 5 vs 6)</t>
  </si>
  <si>
    <t>3 SRE x $80k: 3 кластера, Istio, Kafka, GitOps</t>
  </si>
  <si>
    <t>Дежурства 24/7 под 99,99%</t>
  </si>
  <si>
    <t>SA + CTO-функция + PM</t>
  </si>
  <si>
    <t>Комплаенс-аудит, разовый (год 1)</t>
  </si>
  <si>
    <t>Пентест + аудит 40-50 сервисов</t>
  </si>
  <si>
    <t>Интеграции + построение платформы, разовые (год 1)</t>
  </si>
  <si>
    <t>Найм и онбординг 12+ человек на рынке с дефицитом Go</t>
  </si>
  <si>
    <t>Вариант B: превышение бюджета CFO в 3+ раза в год 1, ФОТ требует найма вопреки заморозке. Не реализуем в ограничениях кейса.</t>
  </si>
  <si>
    <t>TCO на 5 лет - Africa Delivery - вариант TCO-C1-macro</t>
  </si>
  <si>
    <t>1 managed K8s кластер, 6-8 нод, 5-7 сервисов</t>
  </si>
  <si>
    <t>Managed PostgreSQL + реплики, по БД на сервис-кандидат</t>
  </si>
  <si>
    <t>Хранилище + бэкапы</t>
  </si>
  <si>
    <t>Managed очередь между сервисами</t>
  </si>
  <si>
    <t>Локальный провайдер в Нигерии под ПДн (артефакт 3)</t>
  </si>
  <si>
    <t>Аналитическая реплика/витрина OLAP - со второго года</t>
  </si>
  <si>
    <t>Observability на 5-7 сервисов: managed + OSS</t>
  </si>
  <si>
    <t>GitHub Team, 7 пайплайнов</t>
  </si>
  <si>
    <t>WAF, секреты</t>
  </si>
  <si>
    <t>WhatsApp Business API</t>
  </si>
  <si>
    <t>7 разработчиков x $65k - +1 к штату CFO, требует согласования</t>
  </si>
  <si>
    <t>1 SRE x $80k</t>
  </si>
  <si>
    <t>Дежурства с подменой</t>
  </si>
  <si>
    <t>SA + CTO-функция + часть PM</t>
  </si>
  <si>
    <t>Интеграции + построение сервисной платформы (год 1)</t>
  </si>
  <si>
    <t>Обучение</t>
  </si>
  <si>
    <t>Вариант C1: дороже A на ~$200k/год (ФОТ+SRE+K8s), ценность независимого масштабирования не востребована на пилоте.</t>
  </si>
  <si>
    <t xml:space="preserve">комиссия ~2,2% </t>
  </si>
  <si>
    <t>Кросс-AZ реплика БД (RPO 0 внутри региона), бэкапы в af-south-1</t>
  </si>
  <si>
    <t>реплики + автоматический failover БД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</si>
</sst>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;&quot;($&quot;#,##0.00\);\-"/>
    <numFmt numFmtId="165" formatCode="\$#,##0;&quot;($&quot;#,##0\);\-"/>
    <numFmt numFmtId="166" formatCode="0.0%"/>
    <numFmt numFmtId="167" formatCode="0.000%"/>
    <numFmt numFmtId="168" formatCode="0.000"/>
  </numFmts>
  <fonts count="12" x14ac:knownFonts="1">
    <font>
      <sz val="11"/>
      <color theme="1"/>
      <name val="Calibri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b/>
      <sz val="10"/>
      <color rgb="FFC00000"/>
      <name val="Arial"/>
      <family val="2"/>
    </font>
    <font>
      <sz val="10"/>
      <color rgb="FF0000FF"/>
      <name val="Arial"/>
      <family val="2"/>
    </font>
    <font>
      <sz val="11"/>
      <color theme="1"/>
      <name val="Calibri"/>
      <family val="2"/>
      <scheme val="minor"/>
    </font>
    <font>
      <sz val="10"/>
      <color rgb="FF008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1F3864"/>
        <bgColor rgb="FF1F3864"/>
      </patternFill>
    </fill>
    <fill>
      <patternFill patternType="solid">
        <fgColor rgb="FFFFFF99"/>
        <bgColor rgb="FFFFFF99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1"/>
  </cellStyleXfs>
  <cellXfs count="50">
    <xf numFmtId="0" fontId="0" fillId="0" borderId="0" xfId="0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4" fillId="2" borderId="1" xfId="0" applyFont="1" applyFill="1"/>
    <xf numFmtId="0" fontId="5" fillId="2" borderId="1" xfId="0" applyFont="1" applyFill="1"/>
    <xf numFmtId="0" fontId="6" fillId="0" borderId="0" xfId="0" applyFont="1" applyBorder="1"/>
    <xf numFmtId="0" fontId="4" fillId="2" borderId="2" xfId="0" applyFont="1" applyFill="1" applyBorder="1"/>
    <xf numFmtId="0" fontId="5" fillId="2" borderId="2" xfId="0" applyFont="1" applyFill="1" applyBorder="1"/>
    <xf numFmtId="0" fontId="7" fillId="3" borderId="2" xfId="0" applyFont="1" applyFill="1" applyBorder="1" applyAlignment="1">
      <alignment horizontal="center" vertical="center" wrapText="1"/>
    </xf>
    <xf numFmtId="0" fontId="3" fillId="0" borderId="2" xfId="0" applyFont="1" applyBorder="1"/>
    <xf numFmtId="3" fontId="9" fillId="4" borderId="2" xfId="0" applyNumberFormat="1" applyFont="1" applyFill="1" applyBorder="1"/>
    <xf numFmtId="0" fontId="6" fillId="0" borderId="0" xfId="0" applyFont="1" applyBorder="1" applyAlignment="1">
      <alignment vertical="top" wrapText="1"/>
    </xf>
    <xf numFmtId="164" fontId="9" fillId="4" borderId="2" xfId="0" applyNumberFormat="1" applyFont="1" applyFill="1" applyBorder="1"/>
    <xf numFmtId="0" fontId="2" fillId="0" borderId="2" xfId="0" applyFont="1" applyBorder="1"/>
    <xf numFmtId="165" fontId="2" fillId="0" borderId="2" xfId="0" applyNumberFormat="1" applyFont="1" applyBorder="1"/>
    <xf numFmtId="0" fontId="9" fillId="4" borderId="2" xfId="0" applyFont="1" applyFill="1" applyBorder="1"/>
    <xf numFmtId="165" fontId="9" fillId="4" borderId="2" xfId="0" applyNumberFormat="1" applyFont="1" applyFill="1" applyBorder="1"/>
    <xf numFmtId="166" fontId="9" fillId="4" borderId="2" xfId="0" applyNumberFormat="1" applyFont="1" applyFill="1" applyBorder="1"/>
    <xf numFmtId="167" fontId="9" fillId="4" borderId="2" xfId="0" applyNumberFormat="1" applyFont="1" applyFill="1" applyBorder="1"/>
    <xf numFmtId="1" fontId="9" fillId="4" borderId="2" xfId="0" applyNumberFormat="1" applyFont="1" applyFill="1" applyBorder="1"/>
    <xf numFmtId="2" fontId="3" fillId="0" borderId="2" xfId="0" applyNumberFormat="1" applyFont="1" applyBorder="1"/>
    <xf numFmtId="165" fontId="3" fillId="0" borderId="2" xfId="0" applyNumberFormat="1" applyFont="1" applyBorder="1"/>
    <xf numFmtId="0" fontId="5" fillId="0" borderId="2" xfId="0" applyFont="1" applyBorder="1"/>
    <xf numFmtId="0" fontId="6" fillId="0" borderId="2" xfId="0" applyFont="1" applyBorder="1" applyAlignment="1">
      <alignment vertical="top" wrapText="1"/>
    </xf>
    <xf numFmtId="0" fontId="2" fillId="5" borderId="2" xfId="0" applyFont="1" applyFill="1" applyBorder="1"/>
    <xf numFmtId="0" fontId="5" fillId="5" borderId="2" xfId="0" applyFont="1" applyFill="1" applyBorder="1"/>
    <xf numFmtId="165" fontId="2" fillId="5" borderId="2" xfId="0" applyNumberFormat="1" applyFont="1" applyFill="1" applyBorder="1"/>
    <xf numFmtId="166" fontId="2" fillId="5" borderId="2" xfId="0" applyNumberFormat="1" applyFont="1" applyFill="1" applyBorder="1"/>
    <xf numFmtId="0" fontId="10" fillId="0" borderId="0" xfId="0" applyFont="1" applyBorder="1"/>
    <xf numFmtId="165" fontId="11" fillId="0" borderId="2" xfId="0" applyNumberFormat="1" applyFont="1" applyBorder="1"/>
    <xf numFmtId="168" fontId="11" fillId="0" borderId="2" xfId="0" applyNumberFormat="1" applyFont="1" applyBorder="1"/>
    <xf numFmtId="0" fontId="8" fillId="0" borderId="1" xfId="0" applyFont="1" applyAlignment="1">
      <alignment vertical="top" wrapText="1"/>
    </xf>
    <xf numFmtId="0" fontId="0" fillId="0" borderId="0" xfId="0" applyBorder="1"/>
    <xf numFmtId="0" fontId="6" fillId="0" borderId="1" xfId="0" applyFont="1" applyAlignment="1">
      <alignment vertical="top" wrapText="1"/>
    </xf>
    <xf numFmtId="165" fontId="2" fillId="6" borderId="2" xfId="0" applyNumberFormat="1" applyFont="1" applyFill="1" applyBorder="1"/>
    <xf numFmtId="0" fontId="0" fillId="0" borderId="3" xfId="0" applyBorder="1"/>
    <xf numFmtId="0" fontId="9" fillId="4" borderId="2" xfId="0" applyFont="1" applyFill="1" applyBorder="1" applyAlignment="1">
      <alignment vertical="top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6" fontId="2" fillId="6" borderId="2" xfId="0" applyNumberFormat="1" applyFont="1" applyFill="1" applyBorder="1"/>
    <xf numFmtId="0" fontId="4" fillId="0" borderId="1" xfId="0" applyFont="1"/>
    <xf numFmtId="10" fontId="2" fillId="6" borderId="2" xfId="0" applyNumberFormat="1" applyFont="1" applyFill="1" applyBorder="1"/>
    <xf numFmtId="164" fontId="2" fillId="6" borderId="2" xfId="0" applyNumberFormat="1" applyFont="1" applyFill="1" applyBorder="1"/>
    <xf numFmtId="0" fontId="2" fillId="6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000"/>
  <sheetViews>
    <sheetView showGridLines="0" workbookViewId="0"/>
  </sheetViews>
  <sheetFormatPr baseColWidth="10" defaultColWidth="14.5" defaultRowHeight="15" customHeight="1" x14ac:dyDescent="0.2"/>
  <cols>
    <col min="1" max="1" width="3" customWidth="1"/>
    <col min="2" max="2" width="46" customWidth="1"/>
    <col min="3" max="3" width="78" customWidth="1"/>
    <col min="4" max="26" width="8.6640625" customWidth="1"/>
  </cols>
  <sheetData>
    <row r="2" spans="2:3" ht="18" customHeight="1" x14ac:dyDescent="0.2">
      <c r="B2" s="1" t="s">
        <v>0</v>
      </c>
    </row>
    <row r="3" spans="2:3" x14ac:dyDescent="0.2">
      <c r="B3" s="2"/>
      <c r="C3" s="3"/>
    </row>
    <row r="4" spans="2:3" x14ac:dyDescent="0.2">
      <c r="B4" s="4" t="s">
        <v>1</v>
      </c>
      <c r="C4" s="5"/>
    </row>
    <row r="5" spans="2:3" ht="30" customHeight="1" x14ac:dyDescent="0.2">
      <c r="B5" s="2" t="s">
        <v>2</v>
      </c>
      <c r="C5" s="3" t="s">
        <v>3</v>
      </c>
    </row>
    <row r="6" spans="2:3" ht="30" customHeight="1" x14ac:dyDescent="0.2">
      <c r="B6" s="2" t="s">
        <v>4</v>
      </c>
      <c r="C6" s="3" t="s">
        <v>5</v>
      </c>
    </row>
    <row r="7" spans="2:3" x14ac:dyDescent="0.2">
      <c r="B7" s="2"/>
      <c r="C7" s="3"/>
    </row>
    <row r="8" spans="2:3" x14ac:dyDescent="0.2">
      <c r="B8" s="4" t="s">
        <v>6</v>
      </c>
      <c r="C8" s="5"/>
    </row>
    <row r="9" spans="2:3" x14ac:dyDescent="0.2">
      <c r="B9" s="2" t="s">
        <v>7</v>
      </c>
      <c r="C9" s="3" t="s">
        <v>8</v>
      </c>
    </row>
    <row r="10" spans="2:3" x14ac:dyDescent="0.2">
      <c r="B10" s="2" t="s">
        <v>9</v>
      </c>
      <c r="C10" s="3" t="s">
        <v>10</v>
      </c>
    </row>
    <row r="11" spans="2:3" x14ac:dyDescent="0.2">
      <c r="B11" s="2" t="s">
        <v>11</v>
      </c>
      <c r="C11" s="3" t="s">
        <v>12</v>
      </c>
    </row>
    <row r="12" spans="2:3" x14ac:dyDescent="0.2">
      <c r="B12" s="2"/>
      <c r="C12" s="3"/>
    </row>
    <row r="13" spans="2:3" x14ac:dyDescent="0.2">
      <c r="B13" s="4" t="s">
        <v>13</v>
      </c>
      <c r="C13" s="5"/>
    </row>
    <row r="14" spans="2:3" ht="30" customHeight="1" x14ac:dyDescent="0.2">
      <c r="B14" s="2" t="s">
        <v>14</v>
      </c>
      <c r="C14" s="3" t="s">
        <v>15</v>
      </c>
    </row>
    <row r="15" spans="2:3" ht="30" customHeight="1" x14ac:dyDescent="0.2">
      <c r="B15" s="2" t="s">
        <v>16</v>
      </c>
      <c r="C15" s="3" t="s">
        <v>17</v>
      </c>
    </row>
    <row r="16" spans="2:3" ht="30" customHeight="1" x14ac:dyDescent="0.2">
      <c r="B16" s="2" t="s">
        <v>18</v>
      </c>
      <c r="C16" s="3" t="s">
        <v>19</v>
      </c>
    </row>
    <row r="17" spans="2:3" ht="30" customHeight="1" x14ac:dyDescent="0.2">
      <c r="B17" s="2" t="s">
        <v>20</v>
      </c>
      <c r="C17" s="3" t="s">
        <v>21</v>
      </c>
    </row>
    <row r="18" spans="2:3" ht="30" customHeight="1" x14ac:dyDescent="0.2">
      <c r="B18" s="2" t="s">
        <v>22</v>
      </c>
      <c r="C18" s="3" t="s">
        <v>23</v>
      </c>
    </row>
    <row r="19" spans="2:3" x14ac:dyDescent="0.2">
      <c r="B19" s="2"/>
      <c r="C19" s="3"/>
    </row>
    <row r="20" spans="2:3" x14ac:dyDescent="0.2">
      <c r="B20" s="4" t="s">
        <v>24</v>
      </c>
      <c r="C20" s="5"/>
    </row>
    <row r="21" spans="2:3" ht="30" customHeight="1" x14ac:dyDescent="0.2">
      <c r="B21" s="2" t="s">
        <v>25</v>
      </c>
      <c r="C21" s="3" t="s">
        <v>26</v>
      </c>
    </row>
    <row r="22" spans="2:3" ht="30" customHeight="1" x14ac:dyDescent="0.2">
      <c r="B22" s="2" t="s">
        <v>27</v>
      </c>
      <c r="C22" s="3" t="s">
        <v>28</v>
      </c>
    </row>
    <row r="23" spans="2:3" ht="30" customHeight="1" x14ac:dyDescent="0.2">
      <c r="B23" s="2" t="s">
        <v>29</v>
      </c>
      <c r="C23" s="3" t="s">
        <v>30</v>
      </c>
    </row>
    <row r="24" spans="2:3" ht="30" customHeight="1" x14ac:dyDescent="0.2">
      <c r="B24" s="2" t="s">
        <v>31</v>
      </c>
      <c r="C24" s="3" t="s">
        <v>32</v>
      </c>
    </row>
    <row r="25" spans="2:3" ht="30" customHeight="1" x14ac:dyDescent="0.2">
      <c r="B25" s="2" t="s">
        <v>33</v>
      </c>
      <c r="C25" s="3" t="s">
        <v>34</v>
      </c>
    </row>
    <row r="26" spans="2:3" ht="30" customHeight="1" x14ac:dyDescent="0.2">
      <c r="B26" s="2" t="s">
        <v>35</v>
      </c>
      <c r="C26" s="3" t="s">
        <v>36</v>
      </c>
    </row>
    <row r="27" spans="2:3" ht="15.75" customHeight="1" x14ac:dyDescent="0.2">
      <c r="B27" s="2"/>
      <c r="C27" s="3"/>
    </row>
    <row r="28" spans="2:3" ht="30" customHeight="1" x14ac:dyDescent="0.2">
      <c r="B28" s="32" t="s">
        <v>37</v>
      </c>
      <c r="C28" s="33"/>
    </row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28:C28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1000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baseColWidth="10" defaultColWidth="14.5" defaultRowHeight="15" customHeight="1" x14ac:dyDescent="0.2"/>
  <cols>
    <col min="1" max="1" width="3" customWidth="1"/>
    <col min="2" max="2" width="42" customWidth="1"/>
    <col min="3" max="7" width="15" customWidth="1"/>
    <col min="8" max="8" width="52" customWidth="1"/>
    <col min="9" max="26" width="8.6640625" customWidth="1"/>
  </cols>
  <sheetData>
    <row r="2" spans="2:8" ht="18" customHeight="1" x14ac:dyDescent="0.2">
      <c r="B2" s="1" t="s">
        <v>38</v>
      </c>
    </row>
    <row r="3" spans="2:8" x14ac:dyDescent="0.2">
      <c r="B3" s="6" t="s">
        <v>39</v>
      </c>
    </row>
    <row r="5" spans="2:8" x14ac:dyDescent="0.2">
      <c r="B5" s="7" t="s">
        <v>40</v>
      </c>
      <c r="C5" s="8"/>
      <c r="D5" s="8"/>
      <c r="E5" s="8"/>
      <c r="F5" s="8"/>
      <c r="G5" s="8"/>
      <c r="H5" s="8"/>
    </row>
    <row r="6" spans="2:8" x14ac:dyDescent="0.2">
      <c r="B6" s="9" t="s">
        <v>41</v>
      </c>
      <c r="C6" s="9" t="s">
        <v>42</v>
      </c>
      <c r="D6" s="9" t="s">
        <v>43</v>
      </c>
      <c r="E6" s="9" t="s">
        <v>44</v>
      </c>
      <c r="F6" s="9" t="s">
        <v>45</v>
      </c>
      <c r="G6" s="9" t="s">
        <v>46</v>
      </c>
      <c r="H6" s="9" t="s">
        <v>47</v>
      </c>
    </row>
    <row r="7" spans="2:8" ht="26" customHeight="1" x14ac:dyDescent="0.2">
      <c r="B7" s="10" t="s">
        <v>48</v>
      </c>
      <c r="C7" s="11">
        <v>400000</v>
      </c>
      <c r="D7" s="11">
        <v>1200000</v>
      </c>
      <c r="E7" s="11">
        <v>3000000</v>
      </c>
      <c r="F7" s="11">
        <v>6000000</v>
      </c>
      <c r="G7" s="11">
        <v>10000000</v>
      </c>
      <c r="H7" s="12" t="s">
        <v>49</v>
      </c>
    </row>
    <row r="8" spans="2:8" ht="26" customHeight="1" x14ac:dyDescent="0.2">
      <c r="B8" s="10" t="s">
        <v>50</v>
      </c>
      <c r="C8" s="11">
        <v>200000</v>
      </c>
      <c r="D8" s="11">
        <v>1200000</v>
      </c>
      <c r="E8" s="11">
        <v>4000000</v>
      </c>
      <c r="F8" s="11">
        <v>8000000</v>
      </c>
      <c r="G8" s="11">
        <v>14000000</v>
      </c>
      <c r="H8" s="12" t="s">
        <v>51</v>
      </c>
    </row>
    <row r="9" spans="2:8" ht="26" customHeight="1" x14ac:dyDescent="0.2">
      <c r="B9" s="10" t="s">
        <v>52</v>
      </c>
      <c r="C9" s="13">
        <v>18</v>
      </c>
      <c r="D9" s="13">
        <v>19</v>
      </c>
      <c r="E9" s="13">
        <v>20</v>
      </c>
      <c r="F9" s="13">
        <v>21</v>
      </c>
      <c r="G9" s="13">
        <v>22</v>
      </c>
      <c r="H9" s="12" t="s">
        <v>53</v>
      </c>
    </row>
    <row r="10" spans="2:8" x14ac:dyDescent="0.2">
      <c r="B10" s="14" t="s">
        <v>54</v>
      </c>
      <c r="C10" s="15">
        <f>C8*C9</f>
        <v>3600000</v>
      </c>
      <c r="D10" s="15">
        <f>D8*D9</f>
        <v>22800000</v>
      </c>
      <c r="E10" s="15">
        <f>E8*E9</f>
        <v>80000000</v>
      </c>
      <c r="F10" s="15">
        <f>F8*F9</f>
        <v>168000000</v>
      </c>
      <c r="G10" s="15">
        <f>G8*G9</f>
        <v>308000000</v>
      </c>
      <c r="H10" s="12" t="s">
        <v>55</v>
      </c>
    </row>
    <row r="12" spans="2:8" x14ac:dyDescent="0.2">
      <c r="B12" s="7" t="s">
        <v>56</v>
      </c>
      <c r="C12" s="8"/>
      <c r="D12" s="8"/>
      <c r="E12" s="8"/>
      <c r="F12" s="8"/>
      <c r="G12" s="8"/>
      <c r="H12" s="8"/>
    </row>
    <row r="13" spans="2:8" x14ac:dyDescent="0.2">
      <c r="B13" s="9" t="s">
        <v>57</v>
      </c>
      <c r="C13" s="9" t="s">
        <v>58</v>
      </c>
      <c r="D13" s="9"/>
      <c r="E13" s="9"/>
      <c r="F13" s="9"/>
      <c r="G13" s="9"/>
      <c r="H13" s="9" t="s">
        <v>47</v>
      </c>
    </row>
    <row r="14" spans="2:8" x14ac:dyDescent="0.2">
      <c r="B14" s="10" t="s">
        <v>59</v>
      </c>
      <c r="C14" s="18">
        <v>0.08</v>
      </c>
      <c r="H14" s="12" t="s">
        <v>60</v>
      </c>
    </row>
    <row r="15" spans="2:8" x14ac:dyDescent="0.2">
      <c r="B15" s="10" t="s">
        <v>61</v>
      </c>
      <c r="C15" s="18">
        <v>0.12</v>
      </c>
      <c r="H15" s="12" t="s">
        <v>62</v>
      </c>
    </row>
    <row r="16" spans="2:8" x14ac:dyDescent="0.2">
      <c r="B16" s="10" t="s">
        <v>63</v>
      </c>
      <c r="C16" s="18">
        <v>0.2</v>
      </c>
      <c r="H16" s="12" t="s">
        <v>64</v>
      </c>
    </row>
    <row r="17" spans="2:8" x14ac:dyDescent="0.2">
      <c r="B17" s="10" t="s">
        <v>65</v>
      </c>
      <c r="C17" s="18">
        <v>0.15</v>
      </c>
      <c r="H17" s="12" t="s">
        <v>66</v>
      </c>
    </row>
    <row r="18" spans="2:8" x14ac:dyDescent="0.2">
      <c r="B18" s="10" t="s">
        <v>67</v>
      </c>
      <c r="C18" s="17">
        <v>5000</v>
      </c>
      <c r="H18" s="12" t="s">
        <v>68</v>
      </c>
    </row>
    <row r="19" spans="2:8" x14ac:dyDescent="0.2">
      <c r="B19" s="10" t="s">
        <v>69</v>
      </c>
      <c r="C19" s="17">
        <v>12000</v>
      </c>
      <c r="H19" s="12" t="s">
        <v>70</v>
      </c>
    </row>
    <row r="20" spans="2:8" ht="26" customHeight="1" x14ac:dyDescent="0.2">
      <c r="B20" s="10" t="s">
        <v>71</v>
      </c>
      <c r="C20" s="19">
        <v>0.999</v>
      </c>
      <c r="H20" s="12" t="s">
        <v>72</v>
      </c>
    </row>
    <row r="21" spans="2:8" ht="15.75" customHeight="1" x14ac:dyDescent="0.2">
      <c r="B21" s="10" t="s">
        <v>73</v>
      </c>
      <c r="C21" s="20">
        <v>0</v>
      </c>
      <c r="H21" s="12" t="s">
        <v>74</v>
      </c>
    </row>
    <row r="22" spans="2:8" ht="15.75" customHeight="1" x14ac:dyDescent="0.2"/>
    <row r="23" spans="2:8" ht="15.75" customHeight="1" x14ac:dyDescent="0.2">
      <c r="B23" s="7" t="s">
        <v>75</v>
      </c>
      <c r="C23" s="8"/>
      <c r="D23" s="8"/>
      <c r="E23" s="8"/>
      <c r="F23" s="8"/>
      <c r="G23" s="8"/>
      <c r="H23" s="8"/>
    </row>
    <row r="24" spans="2:8" ht="15.75" customHeight="1" x14ac:dyDescent="0.2">
      <c r="B24" s="9" t="s">
        <v>76</v>
      </c>
      <c r="C24" s="9" t="s">
        <v>42</v>
      </c>
      <c r="D24" s="9" t="s">
        <v>43</v>
      </c>
      <c r="E24" s="9" t="s">
        <v>44</v>
      </c>
      <c r="F24" s="9" t="s">
        <v>45</v>
      </c>
      <c r="G24" s="9" t="s">
        <v>46</v>
      </c>
      <c r="H24" s="9" t="s">
        <v>77</v>
      </c>
    </row>
    <row r="25" spans="2:8" ht="15.75" customHeight="1" x14ac:dyDescent="0.2">
      <c r="B25" s="10" t="s">
        <v>78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12" t="s">
        <v>79</v>
      </c>
    </row>
    <row r="26" spans="2:8" ht="15.75" customHeight="1" x14ac:dyDescent="0.2">
      <c r="B26" s="10" t="s">
        <v>80</v>
      </c>
      <c r="C26" s="21">
        <v>1</v>
      </c>
      <c r="D26" s="21">
        <f>C26*(1+$C$14)</f>
        <v>1.08</v>
      </c>
      <c r="E26" s="21">
        <f>D26*(1+$C$14)</f>
        <v>1.1664000000000001</v>
      </c>
      <c r="F26" s="21">
        <f>E26*(1+$C$14)</f>
        <v>1.2597120000000002</v>
      </c>
      <c r="G26" s="21">
        <f>F26*(1+$C$14)</f>
        <v>1.3604889600000003</v>
      </c>
      <c r="H26" s="12" t="s">
        <v>81</v>
      </c>
    </row>
    <row r="27" spans="2:8" ht="15.75" customHeight="1" x14ac:dyDescent="0.2">
      <c r="B27" s="10" t="s">
        <v>82</v>
      </c>
      <c r="C27" s="21">
        <v>1</v>
      </c>
      <c r="D27" s="21">
        <f>C27*(1+$C$15)</f>
        <v>1.1200000000000001</v>
      </c>
      <c r="E27" s="21">
        <f>D27*(1+$C$15)</f>
        <v>1.2544000000000002</v>
      </c>
      <c r="F27" s="21">
        <f>E27*(1+$C$15)</f>
        <v>1.4049280000000004</v>
      </c>
      <c r="G27" s="21">
        <f>F27*(1+$C$15)</f>
        <v>1.5735193600000006</v>
      </c>
      <c r="H27" s="12" t="s">
        <v>83</v>
      </c>
    </row>
    <row r="28" spans="2:8" ht="15.75" customHeight="1" x14ac:dyDescent="0.2">
      <c r="B28" s="10" t="s">
        <v>84</v>
      </c>
      <c r="C28" s="21">
        <f>C7/$C$7</f>
        <v>1</v>
      </c>
      <c r="D28" s="21">
        <f>D7/$C$7</f>
        <v>3</v>
      </c>
      <c r="E28" s="21">
        <f>E7/$C$7</f>
        <v>7.5</v>
      </c>
      <c r="F28" s="21">
        <f>F7/$C$7</f>
        <v>15</v>
      </c>
      <c r="G28" s="21">
        <f>G7/$C$7</f>
        <v>25</v>
      </c>
      <c r="H28" s="12" t="s">
        <v>85</v>
      </c>
    </row>
    <row r="29" spans="2:8" ht="15.75" customHeight="1" x14ac:dyDescent="0.2">
      <c r="B29" s="10" t="s">
        <v>86</v>
      </c>
      <c r="C29" s="21">
        <f>C8/$C$8</f>
        <v>1</v>
      </c>
      <c r="D29" s="21">
        <f>D8/$C$8</f>
        <v>6</v>
      </c>
      <c r="E29" s="21">
        <f>E8/$C$8</f>
        <v>20</v>
      </c>
      <c r="F29" s="21">
        <f>F8/$C$8</f>
        <v>40</v>
      </c>
      <c r="G29" s="21">
        <f>G8/$C$8</f>
        <v>70</v>
      </c>
      <c r="H29" s="12" t="s">
        <v>87</v>
      </c>
    </row>
    <row r="30" spans="2:8" ht="15.75" customHeight="1" x14ac:dyDescent="0.2">
      <c r="B30" s="10" t="s">
        <v>88</v>
      </c>
      <c r="C30" s="21">
        <f>C10/$C$10</f>
        <v>1</v>
      </c>
      <c r="D30" s="21">
        <f>D10/$C$10</f>
        <v>6.333333333333333</v>
      </c>
      <c r="E30" s="21">
        <f>E10/$C$10</f>
        <v>22.222222222222221</v>
      </c>
      <c r="F30" s="21">
        <f>F10/$C$10</f>
        <v>46.666666666666664</v>
      </c>
      <c r="G30" s="21">
        <f>G10/$C$10</f>
        <v>85.555555555555557</v>
      </c>
      <c r="H30" s="12" t="s">
        <v>89</v>
      </c>
    </row>
    <row r="31" spans="2:8" ht="15.75" customHeight="1" x14ac:dyDescent="0.2"/>
    <row r="32" spans="2:8" ht="15" customHeight="1" x14ac:dyDescent="0.2">
      <c r="B32" s="34" t="s">
        <v>90</v>
      </c>
      <c r="C32" s="33"/>
      <c r="D32" s="33"/>
      <c r="E32" s="33"/>
      <c r="F32" s="33"/>
      <c r="G32" s="33"/>
      <c r="H32" s="33"/>
    </row>
    <row r="33" spans="2:8" ht="15.75" customHeight="1" x14ac:dyDescent="0.2">
      <c r="B33" s="33"/>
      <c r="C33" s="33"/>
      <c r="D33" s="33"/>
      <c r="E33" s="33"/>
      <c r="F33" s="33"/>
      <c r="G33" s="33"/>
      <c r="H33" s="33"/>
    </row>
    <row r="34" spans="2:8" ht="15.75" customHeight="1" x14ac:dyDescent="0.2"/>
    <row r="35" spans="2:8" ht="15.75" customHeight="1" x14ac:dyDescent="0.2"/>
    <row r="36" spans="2:8" ht="15.75" customHeight="1" x14ac:dyDescent="0.2"/>
    <row r="37" spans="2:8" ht="15.75" customHeight="1" x14ac:dyDescent="0.2"/>
    <row r="38" spans="2:8" ht="15.75" customHeight="1" x14ac:dyDescent="0.2"/>
    <row r="39" spans="2:8" ht="15.75" customHeight="1" x14ac:dyDescent="0.2"/>
    <row r="40" spans="2:8" ht="15.75" customHeight="1" x14ac:dyDescent="0.2"/>
    <row r="41" spans="2:8" ht="15.75" customHeight="1" x14ac:dyDescent="0.2"/>
    <row r="42" spans="2:8" ht="15.75" customHeight="1" x14ac:dyDescent="0.2"/>
    <row r="43" spans="2:8" ht="15.75" customHeight="1" x14ac:dyDescent="0.2"/>
    <row r="44" spans="2:8" ht="15.75" customHeight="1" x14ac:dyDescent="0.2"/>
    <row r="45" spans="2:8" ht="15.75" customHeight="1" x14ac:dyDescent="0.2"/>
    <row r="46" spans="2:8" ht="15.75" customHeight="1" x14ac:dyDescent="0.2"/>
    <row r="47" spans="2:8" ht="15.75" customHeight="1" x14ac:dyDescent="0.2"/>
    <row r="48" spans="2: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2:H33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000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N32" sqref="N32"/>
    </sheetView>
  </sheetViews>
  <sheetFormatPr baseColWidth="10" defaultColWidth="14.5" defaultRowHeight="15" customHeight="1" x14ac:dyDescent="0.2"/>
  <cols>
    <col min="1" max="1" width="3" customWidth="1"/>
    <col min="2" max="2" width="44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6640625" customWidth="1"/>
  </cols>
  <sheetData>
    <row r="2" spans="2:12" ht="18" customHeight="1" x14ac:dyDescent="0.2">
      <c r="B2" s="1" t="s">
        <v>91</v>
      </c>
    </row>
    <row r="3" spans="2:12" x14ac:dyDescent="0.2">
      <c r="B3" s="6" t="s">
        <v>92</v>
      </c>
    </row>
    <row r="5" spans="2:12" ht="31.5" customHeight="1" x14ac:dyDescent="0.2">
      <c r="B5" s="9" t="s">
        <v>93</v>
      </c>
      <c r="C5" s="9" t="s">
        <v>94</v>
      </c>
      <c r="D5" s="9" t="s">
        <v>95</v>
      </c>
      <c r="E5" s="9" t="s">
        <v>42</v>
      </c>
      <c r="F5" s="9" t="s">
        <v>43</v>
      </c>
      <c r="G5" s="9" t="s">
        <v>44</v>
      </c>
      <c r="H5" s="9" t="s">
        <v>45</v>
      </c>
      <c r="I5" s="9" t="s">
        <v>46</v>
      </c>
      <c r="J5" s="9" t="s">
        <v>96</v>
      </c>
      <c r="K5" s="9" t="s">
        <v>97</v>
      </c>
      <c r="L5" s="9" t="s">
        <v>47</v>
      </c>
    </row>
    <row r="6" spans="2:12" x14ac:dyDescent="0.2">
      <c r="B6" s="7" t="s">
        <v>98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">
      <c r="B7" s="10" t="s">
        <v>99</v>
      </c>
      <c r="C7" s="16" t="s">
        <v>84</v>
      </c>
      <c r="D7" s="17">
        <v>6000</v>
      </c>
      <c r="E7" s="22">
        <f t="array" ref="E7">IF($D7="","",$D7*INDEX(Допущения!$C$25:$G$30,MATCH($C7,Допущения!$B$25:$B$30,0),1))</f>
        <v>6000</v>
      </c>
      <c r="F7" s="22">
        <f t="array" ref="F7">IF($D7="","",$D7*INDEX(Допущения!$C$25:$G$30,MATCH($C7,Допущения!$B$25:$B$30,0),2))</f>
        <v>18000</v>
      </c>
      <c r="G7" s="22">
        <f t="array" ref="G7">IF($D7="","",$D7*INDEX(Допущения!$C$25:$G$30,MATCH($C7,Допущения!$B$25:$B$30,0),3))</f>
        <v>45000</v>
      </c>
      <c r="H7" s="22">
        <f t="array" ref="H7">IF($D7="","",$D7*INDEX(Допущения!$C$25:$G$30,MATCH($C7,Допущения!$B$25:$B$30,0),4))</f>
        <v>90000</v>
      </c>
      <c r="I7" s="22">
        <f t="array" ref="I7">IF($D7="","",$D7*INDEX(Допущения!$C$25:$G$30,MATCH($C7,Допущения!$B$25:$B$30,0),5))</f>
        <v>150000</v>
      </c>
      <c r="J7" s="22">
        <f t="shared" ref="J7:J14" si="0">SUM(E7:I7)</f>
        <v>309000</v>
      </c>
      <c r="K7" s="23"/>
      <c r="L7" s="24" t="s">
        <v>100</v>
      </c>
    </row>
    <row r="8" spans="2:12" ht="26" customHeight="1" x14ac:dyDescent="0.2">
      <c r="B8" s="10" t="s">
        <v>101</v>
      </c>
      <c r="C8" s="16" t="s">
        <v>84</v>
      </c>
      <c r="D8" s="17">
        <v>4200</v>
      </c>
      <c r="E8" s="22">
        <f t="array" ref="E8">IF($D8="","",$D8*INDEX(Допущения!$C$25:$G$30,MATCH($C8,Допущения!$B$25:$B$30,0),1))</f>
        <v>4200</v>
      </c>
      <c r="F8" s="22">
        <f t="array" ref="F8">IF($D8="","",$D8*INDEX(Допущения!$C$25:$G$30,MATCH($C8,Допущения!$B$25:$B$30,0),2))</f>
        <v>12600</v>
      </c>
      <c r="G8" s="22">
        <f t="array" ref="G8">IF($D8="","",$D8*INDEX(Допущения!$C$25:$G$30,MATCH($C8,Допущения!$B$25:$B$30,0),3))</f>
        <v>31500</v>
      </c>
      <c r="H8" s="22">
        <f t="array" ref="H8">IF($D8="","",$D8*INDEX(Допущения!$C$25:$G$30,MATCH($C8,Допущения!$B$25:$B$30,0),4))</f>
        <v>63000</v>
      </c>
      <c r="I8" s="22">
        <f t="array" ref="I8">IF($D8="","",$D8*INDEX(Допущения!$C$25:$G$30,MATCH($C8,Допущения!$B$25:$B$30,0),5))</f>
        <v>105000</v>
      </c>
      <c r="J8" s="22">
        <f t="shared" si="0"/>
        <v>216300</v>
      </c>
      <c r="K8" s="23"/>
      <c r="L8" s="24" t="s">
        <v>102</v>
      </c>
    </row>
    <row r="9" spans="2:12" x14ac:dyDescent="0.2">
      <c r="B9" s="10" t="s">
        <v>103</v>
      </c>
      <c r="C9" s="16" t="s">
        <v>84</v>
      </c>
      <c r="D9" s="17">
        <v>1800</v>
      </c>
      <c r="E9" s="22">
        <f t="array" ref="E9">IF($D9="","",$D9*INDEX(Допущения!$C$25:$G$30,MATCH($C9,Допущения!$B$25:$B$30,0),1))</f>
        <v>1800</v>
      </c>
      <c r="F9" s="22">
        <f t="array" ref="F9">IF($D9="","",$D9*INDEX(Допущения!$C$25:$G$30,MATCH($C9,Допущения!$B$25:$B$30,0),2))</f>
        <v>5400</v>
      </c>
      <c r="G9" s="22">
        <f t="array" ref="G9">IF($D9="","",$D9*INDEX(Допущения!$C$25:$G$30,MATCH($C9,Допущения!$B$25:$B$30,0),3))</f>
        <v>13500</v>
      </c>
      <c r="H9" s="22">
        <f t="array" ref="H9">IF($D9="","",$D9*INDEX(Допущения!$C$25:$G$30,MATCH($C9,Допущения!$B$25:$B$30,0),4))</f>
        <v>27000</v>
      </c>
      <c r="I9" s="22">
        <f t="array" ref="I9">IF($D9="","",$D9*INDEX(Допущения!$C$25:$G$30,MATCH($C9,Допущения!$B$25:$B$30,0),5))</f>
        <v>45000</v>
      </c>
      <c r="J9" s="22">
        <f t="shared" si="0"/>
        <v>92700</v>
      </c>
      <c r="K9" s="23"/>
      <c r="L9" s="24" t="s">
        <v>104</v>
      </c>
    </row>
    <row r="10" spans="2:12" x14ac:dyDescent="0.2">
      <c r="B10" s="10" t="s">
        <v>105</v>
      </c>
      <c r="C10" s="16" t="s">
        <v>84</v>
      </c>
      <c r="D10" s="17">
        <v>3600</v>
      </c>
      <c r="E10" s="22">
        <f t="array" ref="E10">IF($D10="","",$D10*INDEX(Допущения!$C$25:$G$30,MATCH($C10,Допущения!$B$25:$B$30,0),1))</f>
        <v>3600</v>
      </c>
      <c r="F10" s="22">
        <f t="array" ref="F10">IF($D10="","",$D10*INDEX(Допущения!$C$25:$G$30,MATCH($C10,Допущения!$B$25:$B$30,0),2))</f>
        <v>10800</v>
      </c>
      <c r="G10" s="22">
        <f t="array" ref="G10">IF($D10="","",$D10*INDEX(Допущения!$C$25:$G$30,MATCH($C10,Допущения!$B$25:$B$30,0),3))</f>
        <v>27000</v>
      </c>
      <c r="H10" s="22">
        <f t="array" ref="H10">IF($D10="","",$D10*INDEX(Допущения!$C$25:$G$30,MATCH($C10,Допущения!$B$25:$B$30,0),4))</f>
        <v>54000</v>
      </c>
      <c r="I10" s="22">
        <f t="array" ref="I10">IF($D10="","",$D10*INDEX(Допущения!$C$25:$G$30,MATCH($C10,Допущения!$B$25:$B$30,0),5))</f>
        <v>90000</v>
      </c>
      <c r="J10" s="22">
        <f t="shared" si="0"/>
        <v>185400</v>
      </c>
      <c r="K10" s="23"/>
      <c r="L10" s="24" t="s">
        <v>106</v>
      </c>
    </row>
    <row r="11" spans="2:12" x14ac:dyDescent="0.2">
      <c r="B11" s="10" t="s">
        <v>107</v>
      </c>
      <c r="C11" s="16" t="s">
        <v>84</v>
      </c>
      <c r="D11" s="17">
        <v>1200</v>
      </c>
      <c r="E11" s="22">
        <f t="array" ref="E11">IF($D11="","",$D11*INDEX(Допущения!$C$25:$G$30,MATCH($C11,Допущения!$B$25:$B$30,0),1))</f>
        <v>1200</v>
      </c>
      <c r="F11" s="22">
        <f t="array" ref="F11">IF($D11="","",$D11*INDEX(Допущения!$C$25:$G$30,MATCH($C11,Допущения!$B$25:$B$30,0),2))</f>
        <v>3600</v>
      </c>
      <c r="G11" s="22">
        <f t="array" ref="G11">IF($D11="","",$D11*INDEX(Допущения!$C$25:$G$30,MATCH($C11,Допущения!$B$25:$B$30,0),3))</f>
        <v>9000</v>
      </c>
      <c r="H11" s="22">
        <f t="array" ref="H11">IF($D11="","",$D11*INDEX(Допущения!$C$25:$G$30,MATCH($C11,Допущения!$B$25:$B$30,0),4))</f>
        <v>18000</v>
      </c>
      <c r="I11" s="22">
        <f t="array" ref="I11">IF($D11="","",$D11*INDEX(Допущения!$C$25:$G$30,MATCH($C11,Допущения!$B$25:$B$30,0),5))</f>
        <v>30000</v>
      </c>
      <c r="J11" s="22">
        <f t="shared" si="0"/>
        <v>61800</v>
      </c>
      <c r="K11" s="23"/>
      <c r="L11" s="24" t="s">
        <v>108</v>
      </c>
    </row>
    <row r="12" spans="2:12" ht="26" customHeight="1" x14ac:dyDescent="0.2">
      <c r="B12" s="10" t="s">
        <v>109</v>
      </c>
      <c r="C12" s="16" t="s">
        <v>84</v>
      </c>
      <c r="D12" s="17">
        <v>3000</v>
      </c>
      <c r="E12" s="22">
        <f t="array" ref="E12">IF($D12="","",$D12*INDEX(Допущения!$C$25:$G$30,MATCH($C12,Допущения!$B$25:$B$30,0),1))</f>
        <v>3000</v>
      </c>
      <c r="F12" s="22">
        <f t="array" ref="F12">IF($D12="","",$D12*INDEX(Допущения!$C$25:$G$30,MATCH($C12,Допущения!$B$25:$B$30,0),2))</f>
        <v>9000</v>
      </c>
      <c r="G12" s="22">
        <f t="array" ref="G12">IF($D12="","",$D12*INDEX(Допущения!$C$25:$G$30,MATCH($C12,Допущения!$B$25:$B$30,0),3))</f>
        <v>22500</v>
      </c>
      <c r="H12" s="22">
        <f t="array" ref="H12">IF($D12="","",$D12*INDEX(Допущения!$C$25:$G$30,MATCH($C12,Допущения!$B$25:$B$30,0),4))</f>
        <v>45000</v>
      </c>
      <c r="I12" s="22">
        <f t="array" ref="I12">IF($D12="","",$D12*INDEX(Допущения!$C$25:$G$30,MATCH($C12,Допущения!$B$25:$B$30,0),5))</f>
        <v>75000</v>
      </c>
      <c r="J12" s="22">
        <f t="shared" si="0"/>
        <v>154500</v>
      </c>
      <c r="K12" s="23"/>
      <c r="L12" s="24" t="s">
        <v>232</v>
      </c>
    </row>
    <row r="13" spans="2:12" ht="26" customHeight="1" x14ac:dyDescent="0.2">
      <c r="B13" s="10" t="s">
        <v>110</v>
      </c>
      <c r="C13" s="16" t="s">
        <v>80</v>
      </c>
      <c r="D13" s="17">
        <v>9600</v>
      </c>
      <c r="E13" s="22">
        <f t="array" ref="E13">IF($D13="","",$D13*INDEX(Допущения!$C$25:$G$30,MATCH($C13,Допущения!$B$25:$B$30,0),1))</f>
        <v>9600</v>
      </c>
      <c r="F13" s="22">
        <f t="array" ref="F13">IF($D13="","",$D13*INDEX(Допущения!$C$25:$G$30,MATCH($C13,Допущения!$B$25:$B$30,0),2))</f>
        <v>10368</v>
      </c>
      <c r="G13" s="22">
        <f t="array" ref="G13">IF($D13="","",$D13*INDEX(Допущения!$C$25:$G$30,MATCH($C13,Допущения!$B$25:$B$30,0),3))</f>
        <v>11197.44</v>
      </c>
      <c r="H13" s="22">
        <f t="array" ref="H13">IF($D13="","",$D13*INDEX(Допущения!$C$25:$G$30,MATCH($C13,Допущения!$B$25:$B$30,0),4))</f>
        <v>12093.235200000001</v>
      </c>
      <c r="I13" s="22">
        <f t="array" ref="I13">IF($D13="","",$D13*INDEX(Допущения!$C$25:$G$30,MATCH($C13,Допущения!$B$25:$B$30,0),5))</f>
        <v>13060.694016000003</v>
      </c>
      <c r="J13" s="22">
        <f t="shared" si="0"/>
        <v>56319.369216000006</v>
      </c>
      <c r="K13" s="23"/>
      <c r="L13" s="24" t="s">
        <v>111</v>
      </c>
    </row>
    <row r="14" spans="2:12" ht="26" customHeight="1" x14ac:dyDescent="0.2">
      <c r="B14" s="10" t="s">
        <v>112</v>
      </c>
      <c r="C14" s="16" t="s">
        <v>84</v>
      </c>
      <c r="D14" s="17">
        <v>2400</v>
      </c>
      <c r="E14" s="22">
        <v>0</v>
      </c>
      <c r="F14" s="22">
        <f t="array" ref="F14">IF($D14="","",$D14*INDEX(Допущения!$C$25:$G$30,MATCH($C14,Допущения!$B$25:$B$30,0),2))</f>
        <v>7200</v>
      </c>
      <c r="G14" s="22">
        <f t="array" ref="G14">IF($D14="","",$D14*INDEX(Допущения!$C$25:$G$30,MATCH($C14,Допущения!$B$25:$B$30,0),3))</f>
        <v>18000</v>
      </c>
      <c r="H14" s="22">
        <f t="array" ref="H14">IF($D14="","",$D14*INDEX(Допущения!$C$25:$G$30,MATCH($C14,Допущения!$B$25:$B$30,0),4))</f>
        <v>36000</v>
      </c>
      <c r="I14" s="22">
        <f t="array" ref="I14">IF($D14="","",$D14*INDEX(Допущения!$C$25:$G$30,MATCH($C14,Допущения!$B$25:$B$30,0),5))</f>
        <v>60000</v>
      </c>
      <c r="J14" s="22">
        <f t="shared" si="0"/>
        <v>121200</v>
      </c>
      <c r="K14" s="23"/>
      <c r="L14" s="24" t="s">
        <v>113</v>
      </c>
    </row>
    <row r="15" spans="2:12" x14ac:dyDescent="0.2">
      <c r="B15" s="25" t="s">
        <v>114</v>
      </c>
      <c r="C15" s="26"/>
      <c r="D15" s="26"/>
      <c r="E15" s="27">
        <f t="shared" ref="E15:J15" si="1">SUM(E7:E14)</f>
        <v>29400</v>
      </c>
      <c r="F15" s="27">
        <f t="shared" si="1"/>
        <v>76968</v>
      </c>
      <c r="G15" s="27">
        <f t="shared" si="1"/>
        <v>177697.44</v>
      </c>
      <c r="H15" s="27">
        <f t="shared" si="1"/>
        <v>345093.2352</v>
      </c>
      <c r="I15" s="27">
        <f t="shared" si="1"/>
        <v>568060.69401600002</v>
      </c>
      <c r="J15" s="27">
        <f t="shared" si="1"/>
        <v>1197219.369216</v>
      </c>
      <c r="K15" s="28">
        <f>IFERROR(J15/$J$51,0)</f>
        <v>2.7252713968581636E-2</v>
      </c>
      <c r="L15" s="26"/>
    </row>
    <row r="16" spans="2:12" x14ac:dyDescent="0.2">
      <c r="C16" s="29"/>
    </row>
    <row r="17" spans="2:12" x14ac:dyDescent="0.2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">
      <c r="B18" s="10" t="s">
        <v>116</v>
      </c>
      <c r="C18" s="16" t="s">
        <v>84</v>
      </c>
      <c r="D18" s="17">
        <v>2400</v>
      </c>
      <c r="E18" s="22">
        <f t="array" ref="E18">IF($D18="","",$D18*INDEX(Допущения!$C$25:$G$30,MATCH($C18,Допущения!$B$25:$B$30,0),1))</f>
        <v>2400</v>
      </c>
      <c r="F18" s="22">
        <f t="array" ref="F18">IF($D18="","",$D18*INDEX(Допущения!$C$25:$G$30,MATCH($C18,Допущения!$B$25:$B$30,0),2))</f>
        <v>7200</v>
      </c>
      <c r="G18" s="22">
        <f t="array" ref="G18">IF($D18="","",$D18*INDEX(Допущения!$C$25:$G$30,MATCH($C18,Допущения!$B$25:$B$30,0),3))</f>
        <v>18000</v>
      </c>
      <c r="H18" s="22">
        <f t="array" ref="H18">IF($D18="","",$D18*INDEX(Допущения!$C$25:$G$30,MATCH($C18,Допущения!$B$25:$B$30,0),4))</f>
        <v>36000</v>
      </c>
      <c r="I18" s="22">
        <f t="array" ref="I18">IF($D18="","",$D18*INDEX(Допущения!$C$25:$G$30,MATCH($C18,Допущения!$B$25:$B$30,0),5))</f>
        <v>60000</v>
      </c>
      <c r="J18" s="22">
        <f t="shared" ref="J18:J23" si="2">SUM(E18:I18)</f>
        <v>123600</v>
      </c>
      <c r="K18" s="23"/>
      <c r="L18" s="24" t="s">
        <v>117</v>
      </c>
    </row>
    <row r="19" spans="2:12" x14ac:dyDescent="0.2">
      <c r="B19" s="10" t="s">
        <v>118</v>
      </c>
      <c r="C19" s="16" t="s">
        <v>80</v>
      </c>
      <c r="D19" s="17">
        <v>2400</v>
      </c>
      <c r="E19" s="22">
        <f t="array" ref="E19">IF($D19="","",$D19*INDEX(Допущения!$C$25:$G$30,MATCH($C19,Допущения!$B$25:$B$30,0),1))</f>
        <v>2400</v>
      </c>
      <c r="F19" s="22">
        <f t="array" ref="F19">IF($D19="","",$D19*INDEX(Допущения!$C$25:$G$30,MATCH($C19,Допущения!$B$25:$B$30,0),2))</f>
        <v>2592</v>
      </c>
      <c r="G19" s="22">
        <f t="array" ref="G19">IF($D19="","",$D19*INDEX(Допущения!$C$25:$G$30,MATCH($C19,Допущения!$B$25:$B$30,0),3))</f>
        <v>2799.36</v>
      </c>
      <c r="H19" s="22">
        <f t="array" ref="H19">IF($D19="","",$D19*INDEX(Допущения!$C$25:$G$30,MATCH($C19,Допущения!$B$25:$B$30,0),4))</f>
        <v>3023.3088000000002</v>
      </c>
      <c r="I19" s="22">
        <f t="array" ref="I19">IF($D19="","",$D19*INDEX(Допущения!$C$25:$G$30,MATCH($C19,Допущения!$B$25:$B$30,0),5))</f>
        <v>3265.1735040000008</v>
      </c>
      <c r="J19" s="22">
        <f t="shared" si="2"/>
        <v>14079.842304000002</v>
      </c>
      <c r="K19" s="23"/>
      <c r="L19" s="24" t="s">
        <v>119</v>
      </c>
    </row>
    <row r="20" spans="2:12" x14ac:dyDescent="0.2">
      <c r="B20" s="10" t="s">
        <v>120</v>
      </c>
      <c r="C20" s="16" t="s">
        <v>84</v>
      </c>
      <c r="D20" s="17">
        <v>3600</v>
      </c>
      <c r="E20" s="22">
        <f t="array" ref="E20">IF($D20="","",$D20*INDEX(Допущения!$C$25:$G$30,MATCH($C20,Допущения!$B$25:$B$30,0),1))</f>
        <v>3600</v>
      </c>
      <c r="F20" s="22">
        <f t="array" ref="F20">IF($D20="","",$D20*INDEX(Допущения!$C$25:$G$30,MATCH($C20,Допущения!$B$25:$B$30,0),2))</f>
        <v>10800</v>
      </c>
      <c r="G20" s="22">
        <f t="array" ref="G20">IF($D20="","",$D20*INDEX(Допущения!$C$25:$G$30,MATCH($C20,Допущения!$B$25:$B$30,0),3))</f>
        <v>27000</v>
      </c>
      <c r="H20" s="22">
        <f t="array" ref="H20">IF($D20="","",$D20*INDEX(Допущения!$C$25:$G$30,MATCH($C20,Допущения!$B$25:$B$30,0),4))</f>
        <v>54000</v>
      </c>
      <c r="I20" s="22">
        <f t="array" ref="I20">IF($D20="","",$D20*INDEX(Допущения!$C$25:$G$30,MATCH($C20,Допущения!$B$25:$B$30,0),5))</f>
        <v>90000</v>
      </c>
      <c r="J20" s="22">
        <f t="shared" si="2"/>
        <v>185400</v>
      </c>
      <c r="K20" s="23"/>
      <c r="L20" s="24" t="s">
        <v>121</v>
      </c>
    </row>
    <row r="21" spans="2:12" ht="15.75" customHeight="1" x14ac:dyDescent="0.2">
      <c r="B21" s="10" t="s">
        <v>122</v>
      </c>
      <c r="C21" s="16" t="s">
        <v>80</v>
      </c>
      <c r="D21" s="17">
        <v>3000</v>
      </c>
      <c r="E21" s="22">
        <f t="array" ref="E21">IF($D21="","",$D21*INDEX(Допущения!$C$25:$G$30,MATCH($C21,Допущения!$B$25:$B$30,0),1))</f>
        <v>3000</v>
      </c>
      <c r="F21" s="22">
        <f t="array" ref="F21">IF($D21="","",$D21*INDEX(Допущения!$C$25:$G$30,MATCH($C21,Допущения!$B$25:$B$30,0),2))</f>
        <v>3240</v>
      </c>
      <c r="G21" s="22">
        <f t="array" ref="G21">IF($D21="","",$D21*INDEX(Допущения!$C$25:$G$30,MATCH($C21,Допущения!$B$25:$B$30,0),3))</f>
        <v>3499.2000000000003</v>
      </c>
      <c r="H21" s="22">
        <f t="array" ref="H21">IF($D21="","",$D21*INDEX(Допущения!$C$25:$G$30,MATCH($C21,Допущения!$B$25:$B$30,0),4))</f>
        <v>3779.1360000000004</v>
      </c>
      <c r="I21" s="22">
        <f t="array" ref="I21">IF($D21="","",$D21*INDEX(Допущения!$C$25:$G$30,MATCH($C21,Допущения!$B$25:$B$30,0),5))</f>
        <v>4081.4668800000009</v>
      </c>
      <c r="J21" s="22">
        <f t="shared" si="2"/>
        <v>17599.802880000003</v>
      </c>
      <c r="K21" s="23"/>
      <c r="L21" s="24" t="s">
        <v>123</v>
      </c>
    </row>
    <row r="22" spans="2:12" ht="15.75" customHeight="1" x14ac:dyDescent="0.2">
      <c r="B22" s="10" t="s">
        <v>124</v>
      </c>
      <c r="C22" s="16" t="s">
        <v>80</v>
      </c>
      <c r="D22" s="17">
        <v>2400</v>
      </c>
      <c r="E22" s="22">
        <f t="array" ref="E22">IF($D22="","",$D22*INDEX(Допущения!$C$25:$G$30,MATCH($C22,Допущения!$B$25:$B$30,0),1))</f>
        <v>2400</v>
      </c>
      <c r="F22" s="22">
        <f t="array" ref="F22">IF($D22="","",$D22*INDEX(Допущения!$C$25:$G$30,MATCH($C22,Допущения!$B$25:$B$30,0),2))</f>
        <v>2592</v>
      </c>
      <c r="G22" s="22">
        <f t="array" ref="G22">IF($D22="","",$D22*INDEX(Допущения!$C$25:$G$30,MATCH($C22,Допущения!$B$25:$B$30,0),3))</f>
        <v>2799.36</v>
      </c>
      <c r="H22" s="22">
        <f t="array" ref="H22">IF($D22="","",$D22*INDEX(Допущения!$C$25:$G$30,MATCH($C22,Допущения!$B$25:$B$30,0),4))</f>
        <v>3023.3088000000002</v>
      </c>
      <c r="I22" s="22">
        <f t="array" ref="I22">IF($D22="","",$D22*INDEX(Допущения!$C$25:$G$30,MATCH($C22,Допущения!$B$25:$B$30,0),5))</f>
        <v>3265.1735040000008</v>
      </c>
      <c r="J22" s="22">
        <f t="shared" si="2"/>
        <v>14079.842304000002</v>
      </c>
      <c r="K22" s="23"/>
      <c r="L22" s="24" t="s">
        <v>125</v>
      </c>
    </row>
    <row r="23" spans="2:12" ht="15.75" customHeight="1" x14ac:dyDescent="0.2">
      <c r="B23" s="10"/>
      <c r="C23" s="16" t="s">
        <v>78</v>
      </c>
      <c r="D23" s="17"/>
      <c r="E23" s="22" t="str">
        <f t="array" ref="E23">IF($D23="","",$D23*INDEX(Допущения!$C$25:$G$30,MATCH($C23,Допущения!$B$25:$B$30,0),1))</f>
        <v/>
      </c>
      <c r="F23" s="22" t="str">
        <f t="array" ref="F23">IF($D23="","",$D23*INDEX(Допущения!$C$25:$G$30,MATCH($C23,Допущения!$B$25:$B$30,0),2))</f>
        <v/>
      </c>
      <c r="G23" s="22" t="str">
        <f t="array" ref="G23">IF($D23="","",$D23*INDEX(Допущения!$C$25:$G$30,MATCH($C23,Допущения!$B$25:$B$30,0),3))</f>
        <v/>
      </c>
      <c r="H23" s="22" t="str">
        <f t="array" ref="H23">IF($D23="","",$D23*INDEX(Допущения!$C$25:$G$30,MATCH($C23,Допущения!$B$25:$B$30,0),4))</f>
        <v/>
      </c>
      <c r="I23" s="22" t="str">
        <f t="array" ref="I23">IF($D23="","",$D23*INDEX(Допущения!$C$25:$G$30,MATCH($C23,Допущения!$B$25:$B$30,0),5))</f>
        <v/>
      </c>
      <c r="J23" s="22">
        <f t="shared" si="2"/>
        <v>0</v>
      </c>
      <c r="K23" s="23"/>
      <c r="L23" s="24" t="s">
        <v>126</v>
      </c>
    </row>
    <row r="24" spans="2:12" ht="15.75" customHeight="1" x14ac:dyDescent="0.2">
      <c r="B24" s="25" t="s">
        <v>114</v>
      </c>
      <c r="C24" s="26"/>
      <c r="D24" s="26"/>
      <c r="E24" s="27">
        <f t="shared" ref="E24:J24" si="3">SUM(E18:E23)</f>
        <v>13800</v>
      </c>
      <c r="F24" s="27">
        <f t="shared" si="3"/>
        <v>26424</v>
      </c>
      <c r="G24" s="27">
        <f t="shared" si="3"/>
        <v>54097.919999999998</v>
      </c>
      <c r="H24" s="27">
        <f t="shared" si="3"/>
        <v>99825.753599999996</v>
      </c>
      <c r="I24" s="27">
        <f t="shared" si="3"/>
        <v>160611.813888</v>
      </c>
      <c r="J24" s="27">
        <f t="shared" si="3"/>
        <v>354759.48748800001</v>
      </c>
      <c r="K24" s="28">
        <f>IFERROR(J24/$J$51,0)</f>
        <v>8.0755115467955399E-3</v>
      </c>
      <c r="L24" s="26"/>
    </row>
    <row r="25" spans="2:12" ht="15.75" customHeight="1" x14ac:dyDescent="0.2">
      <c r="C25" s="29"/>
    </row>
    <row r="26" spans="2:12" ht="15.75" customHeight="1" x14ac:dyDescent="0.2">
      <c r="B26" s="7" t="s">
        <v>127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">
      <c r="B27" s="10" t="s">
        <v>128</v>
      </c>
      <c r="C27" s="16" t="s">
        <v>88</v>
      </c>
      <c r="D27" s="17">
        <v>100800</v>
      </c>
      <c r="E27" s="22">
        <f t="array" ref="E27">IF($D27="","",$D27*INDEX(Допущения!$C$25:$G$30,MATCH($C27,Допущения!$B$25:$B$30,0),1))</f>
        <v>100800</v>
      </c>
      <c r="F27" s="22">
        <f t="array" ref="F27">IF($D27="","",$D27*INDEX(Допущения!$C$25:$G$30,MATCH($C27,Допущения!$B$25:$B$30,0),2))</f>
        <v>638400</v>
      </c>
      <c r="G27" s="22">
        <f t="array" ref="G27">IF($D27="","",$D27*INDEX(Допущения!$C$25:$G$30,MATCH($C27,Допущения!$B$25:$B$30,0),3))</f>
        <v>2240000</v>
      </c>
      <c r="H27" s="22">
        <f t="array" ref="H27">IF($D27="","",$D27*INDEX(Допущения!$C$25:$G$30,MATCH($C27,Допущения!$B$25:$B$30,0),4))</f>
        <v>4704000</v>
      </c>
      <c r="I27" s="22">
        <f t="array" ref="I27">IF($D27="","",$D27*INDEX(Допущения!$C$25:$G$30,MATCH($C27,Допущения!$B$25:$B$30,0),5))</f>
        <v>8624000</v>
      </c>
      <c r="J27" s="22">
        <f>SUM(E27:I27)</f>
        <v>16307200</v>
      </c>
      <c r="K27" s="23"/>
      <c r="L27" s="24" t="s">
        <v>231</v>
      </c>
    </row>
    <row r="28" spans="2:12" ht="15.75" customHeight="1" x14ac:dyDescent="0.2">
      <c r="B28" s="10" t="s">
        <v>129</v>
      </c>
      <c r="C28" s="16" t="s">
        <v>86</v>
      </c>
      <c r="D28" s="17">
        <v>16000</v>
      </c>
      <c r="E28" s="22">
        <f t="array" ref="E28">IF($D28="","",$D28*INDEX(Допущения!$C$25:$G$30,MATCH($C28,Допущения!$B$25:$B$30,0),1))</f>
        <v>16000</v>
      </c>
      <c r="F28" s="22">
        <f t="array" ref="F28">IF($D28="","",$D28*INDEX(Допущения!$C$25:$G$30,MATCH($C28,Допущения!$B$25:$B$30,0),2))</f>
        <v>96000</v>
      </c>
      <c r="G28" s="22">
        <f t="array" ref="G28">IF($D28="","",$D28*INDEX(Допущения!$C$25:$G$30,MATCH($C28,Допущения!$B$25:$B$30,0),3))</f>
        <v>320000</v>
      </c>
      <c r="H28" s="22">
        <f t="array" ref="H28">IF($D28="","",$D28*INDEX(Допущения!$C$25:$G$30,MATCH($C28,Допущения!$B$25:$B$30,0),4))</f>
        <v>640000</v>
      </c>
      <c r="I28" s="22">
        <f t="array" ref="I28">IF($D28="","",$D28*INDEX(Допущения!$C$25:$G$30,MATCH($C28,Допущения!$B$25:$B$30,0),5))</f>
        <v>1120000</v>
      </c>
      <c r="J28" s="22">
        <f>SUM(E28:I28)</f>
        <v>2192000</v>
      </c>
      <c r="K28" s="23"/>
      <c r="L28" s="24" t="s">
        <v>130</v>
      </c>
    </row>
    <row r="29" spans="2:12" ht="15.75" customHeight="1" x14ac:dyDescent="0.2">
      <c r="B29" s="10" t="s">
        <v>131</v>
      </c>
      <c r="C29" s="16" t="s">
        <v>86</v>
      </c>
      <c r="D29" s="17">
        <v>6000</v>
      </c>
      <c r="E29" s="22">
        <f t="array" ref="E29">IF($D29="","",$D29*INDEX(Допущения!$C$25:$G$30,MATCH($C29,Допущения!$B$25:$B$30,0),1))</f>
        <v>6000</v>
      </c>
      <c r="F29" s="22">
        <f t="array" ref="F29">IF($D29="","",$D29*INDEX(Допущения!$C$25:$G$30,MATCH($C29,Допущения!$B$25:$B$30,0),2))</f>
        <v>36000</v>
      </c>
      <c r="G29" s="22">
        <f t="array" ref="G29">IF($D29="","",$D29*INDEX(Допущения!$C$25:$G$30,MATCH($C29,Допущения!$B$25:$B$30,0),3))</f>
        <v>120000</v>
      </c>
      <c r="H29" s="22">
        <f t="array" ref="H29">IF($D29="","",$D29*INDEX(Допущения!$C$25:$G$30,MATCH($C29,Допущения!$B$25:$B$30,0),4))</f>
        <v>240000</v>
      </c>
      <c r="I29" s="22">
        <f t="array" ref="I29">IF($D29="","",$D29*INDEX(Допущения!$C$25:$G$30,MATCH($C29,Допущения!$B$25:$B$30,0),5))</f>
        <v>420000</v>
      </c>
      <c r="J29" s="22">
        <f>SUM(E29:I29)</f>
        <v>822000</v>
      </c>
      <c r="K29" s="23"/>
      <c r="L29" s="24" t="s">
        <v>132</v>
      </c>
    </row>
    <row r="30" spans="2:12" ht="15.75" customHeight="1" x14ac:dyDescent="0.2">
      <c r="B30" s="10" t="s">
        <v>133</v>
      </c>
      <c r="C30" s="16" t="s">
        <v>86</v>
      </c>
      <c r="D30" s="17">
        <v>100000</v>
      </c>
      <c r="E30" s="22">
        <f t="array" ref="E30">IF($D30="","",$D30*INDEX(Допущения!$C$25:$G$30,MATCH($C30,Допущения!$B$25:$B$30,0),1))</f>
        <v>100000</v>
      </c>
      <c r="F30" s="22">
        <f t="array" ref="F30">IF($D30="","",$D30*INDEX(Допущения!$C$25:$G$30,MATCH($C30,Допущения!$B$25:$B$30,0),2))</f>
        <v>600000</v>
      </c>
      <c r="G30" s="22">
        <f t="array" ref="G30">IF($D30="","",$D30*INDEX(Допущения!$C$25:$G$30,MATCH($C30,Допущения!$B$25:$B$30,0),3))</f>
        <v>2000000</v>
      </c>
      <c r="H30" s="22">
        <f t="array" ref="H30">IF($D30="","",$D30*INDEX(Допущения!$C$25:$G$30,MATCH($C30,Допущения!$B$25:$B$30,0),4))</f>
        <v>4000000</v>
      </c>
      <c r="I30" s="22">
        <f t="array" ref="I30">IF($D30="","",$D30*INDEX(Допущения!$C$25:$G$30,MATCH($C30,Допущения!$B$25:$B$30,0),5))</f>
        <v>7000000</v>
      </c>
      <c r="J30" s="22">
        <f>SUM(E30:I30)</f>
        <v>13700000</v>
      </c>
      <c r="K30" s="23"/>
      <c r="L30" s="24" t="s">
        <v>134</v>
      </c>
    </row>
    <row r="31" spans="2:12" ht="15.75" customHeight="1" x14ac:dyDescent="0.2">
      <c r="B31" s="10"/>
      <c r="C31" s="16" t="s">
        <v>78</v>
      </c>
      <c r="D31" s="17"/>
      <c r="E31" s="22" t="str">
        <f t="array" ref="E31">IF($D31="","",$D31*INDEX(Допущения!$C$25:$G$30,MATCH($C31,Допущения!$B$25:$B$30,0),1))</f>
        <v/>
      </c>
      <c r="F31" s="22" t="str">
        <f t="array" ref="F31">IF($D31="","",$D31*INDEX(Допущения!$C$25:$G$30,MATCH($C31,Допущения!$B$25:$B$30,0),2))</f>
        <v/>
      </c>
      <c r="G31" s="22" t="str">
        <f t="array" ref="G31">IF($D31="","",$D31*INDEX(Допущения!$C$25:$G$30,MATCH($C31,Допущения!$B$25:$B$30,0),3))</f>
        <v/>
      </c>
      <c r="H31" s="22" t="str">
        <f t="array" ref="H31">IF($D31="","",$D31*INDEX(Допущения!$C$25:$G$30,MATCH($C31,Допущения!$B$25:$B$30,0),4))</f>
        <v/>
      </c>
      <c r="I31" s="22" t="str">
        <f t="array" ref="I31">IF($D31="","",$D31*INDEX(Допущения!$C$25:$G$30,MATCH($C31,Допущения!$B$25:$B$30,0),5))</f>
        <v/>
      </c>
      <c r="J31" s="22">
        <f>SUM(E31:I31)</f>
        <v>0</v>
      </c>
      <c r="K31" s="23"/>
      <c r="L31" s="24" t="s">
        <v>126</v>
      </c>
    </row>
    <row r="32" spans="2:12" ht="15.75" customHeight="1" x14ac:dyDescent="0.2">
      <c r="B32" s="25" t="s">
        <v>114</v>
      </c>
      <c r="C32" s="26"/>
      <c r="D32" s="26"/>
      <c r="E32" s="27">
        <f t="shared" ref="E32:J32" si="4">SUM(E27:E31)</f>
        <v>222800</v>
      </c>
      <c r="F32" s="27">
        <f t="shared" si="4"/>
        <v>1370400</v>
      </c>
      <c r="G32" s="27">
        <f t="shared" si="4"/>
        <v>4680000</v>
      </c>
      <c r="H32" s="27">
        <f t="shared" si="4"/>
        <v>9584000</v>
      </c>
      <c r="I32" s="27">
        <f t="shared" si="4"/>
        <v>17164000</v>
      </c>
      <c r="J32" s="27">
        <f t="shared" si="4"/>
        <v>33021200</v>
      </c>
      <c r="K32" s="28">
        <f>IFERROR(J32/$J$51,0)</f>
        <v>0.75167286934944888</v>
      </c>
      <c r="L32" s="26"/>
    </row>
    <row r="33" spans="2:12" ht="15.75" customHeight="1" x14ac:dyDescent="0.2">
      <c r="C33" s="29"/>
    </row>
    <row r="34" spans="2:12" ht="15.75" customHeight="1" x14ac:dyDescent="0.2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">
      <c r="B35" s="10" t="s">
        <v>136</v>
      </c>
      <c r="C35" s="16" t="s">
        <v>82</v>
      </c>
      <c r="D35" s="17">
        <v>360000</v>
      </c>
      <c r="E35" s="22">
        <f t="array" ref="E35">IF($D35="","",$D35*INDEX(Допущения!$C$25:$G$30,MATCH($C35,Допущения!$B$25:$B$30,0),1))</f>
        <v>360000</v>
      </c>
      <c r="F35" s="22">
        <f t="array" ref="F35">IF($D35="","",$D35*INDEX(Допущения!$C$25:$G$30,MATCH($C35,Допущения!$B$25:$B$30,0),2))</f>
        <v>403200.00000000006</v>
      </c>
      <c r="G35" s="22">
        <f t="array" ref="G35">IF($D35="","",$D35*INDEX(Допущения!$C$25:$G$30,MATCH($C35,Допущения!$B$25:$B$30,0),3))</f>
        <v>451584.00000000006</v>
      </c>
      <c r="H35" s="22">
        <f t="array" ref="H35">IF($D35="","",$D35*INDEX(Допущения!$C$25:$G$30,MATCH($C35,Допущения!$B$25:$B$30,0),4))</f>
        <v>505774.08000000013</v>
      </c>
      <c r="I35" s="22">
        <f t="array" ref="I35">IF($D35="","",$D35*INDEX(Допущения!$C$25:$G$30,MATCH($C35,Допущения!$B$25:$B$30,0),5))</f>
        <v>566466.96960000019</v>
      </c>
      <c r="J35" s="22">
        <f>SUM(E35:I35)</f>
        <v>2287025.0496000005</v>
      </c>
      <c r="K35" s="23"/>
      <c r="L35" s="24" t="s">
        <v>137</v>
      </c>
    </row>
    <row r="36" spans="2:12" ht="15.75" customHeight="1" x14ac:dyDescent="0.2">
      <c r="B36" s="10" t="s">
        <v>138</v>
      </c>
      <c r="C36" s="16" t="s">
        <v>82</v>
      </c>
      <c r="D36" s="17">
        <v>36000</v>
      </c>
      <c r="E36" s="22">
        <f t="array" ref="E36">IF($D36="","",$D36*INDEX(Допущения!$C$25:$G$30,MATCH($C36,Допущения!$B$25:$B$30,0),1))</f>
        <v>36000</v>
      </c>
      <c r="F36" s="22">
        <f t="array" ref="F36">IF($D36="","",$D36*INDEX(Допущения!$C$25:$G$30,MATCH($C36,Допущения!$B$25:$B$30,0),2))</f>
        <v>40320.000000000007</v>
      </c>
      <c r="G36" s="22">
        <f t="array" ref="G36">IF($D36="","",$D36*INDEX(Допущения!$C$25:$G$30,MATCH($C36,Допущения!$B$25:$B$30,0),3))</f>
        <v>45158.400000000009</v>
      </c>
      <c r="H36" s="22">
        <f t="array" ref="H36">IF($D36="","",$D36*INDEX(Допущения!$C$25:$G$30,MATCH($C36,Допущения!$B$25:$B$30,0),4))</f>
        <v>50577.408000000018</v>
      </c>
      <c r="I36" s="22">
        <f t="array" ref="I36">IF($D36="","",$D36*INDEX(Допущения!$C$25:$G$30,MATCH($C36,Допущения!$B$25:$B$30,0),5))</f>
        <v>56646.696960000023</v>
      </c>
      <c r="J36" s="22">
        <f>SUM(E36:I36)</f>
        <v>228702.50496000005</v>
      </c>
      <c r="K36" s="23"/>
      <c r="L36" s="24" t="s">
        <v>139</v>
      </c>
    </row>
    <row r="37" spans="2:12" ht="15.75" customHeight="1" x14ac:dyDescent="0.2">
      <c r="B37" s="10" t="s">
        <v>140</v>
      </c>
      <c r="C37" s="16" t="s">
        <v>82</v>
      </c>
      <c r="D37" s="17">
        <v>24000</v>
      </c>
      <c r="E37" s="22">
        <f t="array" ref="E37">IF($D37="","",$D37*INDEX(Допущения!$C$25:$G$30,MATCH($C37,Допущения!$B$25:$B$30,0),1))</f>
        <v>24000</v>
      </c>
      <c r="F37" s="22">
        <f t="array" ref="F37">IF($D37="","",$D37*INDEX(Допущения!$C$25:$G$30,MATCH($C37,Допущения!$B$25:$B$30,0),2))</f>
        <v>26880.000000000004</v>
      </c>
      <c r="G37" s="22">
        <f t="array" ref="G37">IF($D37="","",$D37*INDEX(Допущения!$C$25:$G$30,MATCH($C37,Допущения!$B$25:$B$30,0),3))</f>
        <v>30105.600000000006</v>
      </c>
      <c r="H37" s="22">
        <f t="array" ref="H37">IF($D37="","",$D37*INDEX(Допущения!$C$25:$G$30,MATCH($C37,Допущения!$B$25:$B$30,0),4))</f>
        <v>33718.272000000012</v>
      </c>
      <c r="I37" s="22">
        <f t="array" ref="I37">IF($D37="","",$D37*INDEX(Допущения!$C$25:$G$30,MATCH($C37,Допущения!$B$25:$B$30,0),5))</f>
        <v>37764.464640000013</v>
      </c>
      <c r="J37" s="22">
        <f>SUM(E37:I37)</f>
        <v>152468.33664000002</v>
      </c>
      <c r="K37" s="23"/>
      <c r="L37" s="24" t="s">
        <v>141</v>
      </c>
    </row>
    <row r="38" spans="2:12" ht="15.75" customHeight="1" x14ac:dyDescent="0.2">
      <c r="B38" s="10" t="s">
        <v>142</v>
      </c>
      <c r="C38" s="16" t="s">
        <v>82</v>
      </c>
      <c r="D38" s="17">
        <v>120000</v>
      </c>
      <c r="E38" s="22">
        <f t="array" ref="E38">IF($D38="","",$D38*INDEX(Допущения!$C$25:$G$30,MATCH($C38,Допущения!$B$25:$B$30,0),1))</f>
        <v>120000</v>
      </c>
      <c r="F38" s="22">
        <f t="array" ref="F38">IF($D38="","",$D38*INDEX(Допущения!$C$25:$G$30,MATCH($C38,Допущения!$B$25:$B$30,0),2))</f>
        <v>134400</v>
      </c>
      <c r="G38" s="22">
        <f t="array" ref="G38">IF($D38="","",$D38*INDEX(Допущения!$C$25:$G$30,MATCH($C38,Допущения!$B$25:$B$30,0),3))</f>
        <v>150528.00000000003</v>
      </c>
      <c r="H38" s="22">
        <f t="array" ref="H38">IF($D38="","",$D38*INDEX(Допущения!$C$25:$G$30,MATCH($C38,Допущения!$B$25:$B$30,0),4))</f>
        <v>168591.36000000004</v>
      </c>
      <c r="I38" s="22">
        <f t="array" ref="I38">IF($D38="","",$D38*INDEX(Допущения!$C$25:$G$30,MATCH($C38,Допущения!$B$25:$B$30,0),5))</f>
        <v>188822.32320000007</v>
      </c>
      <c r="J38" s="22">
        <f>SUM(E38:I38)</f>
        <v>762341.6832000002</v>
      </c>
      <c r="K38" s="23"/>
      <c r="L38" s="24" t="s">
        <v>143</v>
      </c>
    </row>
    <row r="39" spans="2:12" ht="15.75" customHeight="1" x14ac:dyDescent="0.2">
      <c r="B39" s="10"/>
      <c r="C39" s="16" t="s">
        <v>78</v>
      </c>
      <c r="D39" s="17"/>
      <c r="E39" s="22" t="str">
        <f t="array" ref="E39">IF($D39="","",$D39*INDEX(Допущения!$C$25:$G$30,MATCH($C39,Допущения!$B$25:$B$30,0),1))</f>
        <v/>
      </c>
      <c r="F39" s="22" t="str">
        <f t="array" ref="F39">IF($D39="","",$D39*INDEX(Допущения!$C$25:$G$30,MATCH($C39,Допущения!$B$25:$B$30,0),2))</f>
        <v/>
      </c>
      <c r="G39" s="22" t="str">
        <f t="array" ref="G39">IF($D39="","",$D39*INDEX(Допущения!$C$25:$G$30,MATCH($C39,Допущения!$B$25:$B$30,0),3))</f>
        <v/>
      </c>
      <c r="H39" s="22" t="str">
        <f t="array" ref="H39">IF($D39="","",$D39*INDEX(Допущения!$C$25:$G$30,MATCH($C39,Допущения!$B$25:$B$30,0),4))</f>
        <v/>
      </c>
      <c r="I39" s="22" t="str">
        <f t="array" ref="I39">IF($D39="","",$D39*INDEX(Допущения!$C$25:$G$30,MATCH($C39,Допущения!$B$25:$B$30,0),5))</f>
        <v/>
      </c>
      <c r="J39" s="22">
        <f>SUM(E39:I39)</f>
        <v>0</v>
      </c>
      <c r="K39" s="23"/>
      <c r="L39" s="24" t="s">
        <v>126</v>
      </c>
    </row>
    <row r="40" spans="2:12" ht="15.75" customHeight="1" x14ac:dyDescent="0.2">
      <c r="B40" s="25" t="s">
        <v>114</v>
      </c>
      <c r="C40" s="26"/>
      <c r="D40" s="26"/>
      <c r="E40" s="27">
        <f t="shared" ref="E40:J40" si="5">SUM(E35:E39)</f>
        <v>540000</v>
      </c>
      <c r="F40" s="27">
        <f t="shared" si="5"/>
        <v>604800</v>
      </c>
      <c r="G40" s="27">
        <f t="shared" si="5"/>
        <v>677376.00000000012</v>
      </c>
      <c r="H40" s="27">
        <f t="shared" si="5"/>
        <v>758661.12000000011</v>
      </c>
      <c r="I40" s="27">
        <f t="shared" si="5"/>
        <v>849700.45440000028</v>
      </c>
      <c r="J40" s="27">
        <f t="shared" si="5"/>
        <v>3430537.5744000007</v>
      </c>
      <c r="K40" s="28">
        <f>IFERROR(J40/$J$51,0)</f>
        <v>7.8090500101763313E-2</v>
      </c>
      <c r="L40" s="26"/>
    </row>
    <row r="41" spans="2:12" ht="15.75" customHeight="1" x14ac:dyDescent="0.2">
      <c r="C41" s="29"/>
    </row>
    <row r="42" spans="2:12" ht="15.75" customHeight="1" x14ac:dyDescent="0.2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2" ht="15.75" customHeight="1" x14ac:dyDescent="0.2">
      <c r="B43" s="10" t="s">
        <v>145</v>
      </c>
      <c r="C43" s="16" t="s">
        <v>78</v>
      </c>
      <c r="D43" s="17">
        <v>25000</v>
      </c>
      <c r="E43" s="22">
        <f t="array" ref="E43">IF($D43="","",$D43*INDEX(Допущения!$C$25:$G$30,MATCH($C43,Допущения!$B$25:$B$30,0),1))</f>
        <v>25000</v>
      </c>
      <c r="F43" s="22">
        <v>0</v>
      </c>
      <c r="G43" s="22">
        <v>0</v>
      </c>
      <c r="H43" s="22">
        <v>0</v>
      </c>
      <c r="I43" s="22">
        <v>0</v>
      </c>
      <c r="J43" s="22">
        <f>SUM(E43:I43)</f>
        <v>25000</v>
      </c>
      <c r="K43" s="23"/>
      <c r="L43" s="24" t="s">
        <v>146</v>
      </c>
    </row>
    <row r="44" spans="2:12" ht="15.75" customHeight="1" x14ac:dyDescent="0.2">
      <c r="B44" s="10" t="s">
        <v>147</v>
      </c>
      <c r="C44" s="16" t="s">
        <v>80</v>
      </c>
      <c r="D44" s="17">
        <v>15000</v>
      </c>
      <c r="E44" s="22">
        <f t="array" ref="E44">IF($D44="","",$D44*INDEX(Допущения!$C$25:$G$30,MATCH($C44,Допущения!$B$25:$B$30,0),1))</f>
        <v>15000</v>
      </c>
      <c r="F44" s="22">
        <f t="array" ref="F44">IF($D44="","",$D44*INDEX(Допущения!$C$25:$G$30,MATCH($C44,Допущения!$B$25:$B$30,0),2))</f>
        <v>16200.000000000002</v>
      </c>
      <c r="G44" s="22">
        <f t="array" ref="G44">IF($D44="","",$D44*INDEX(Допущения!$C$25:$G$30,MATCH($C44,Допущения!$B$25:$B$30,0),3))</f>
        <v>17496</v>
      </c>
      <c r="H44" s="22">
        <f t="array" ref="H44">IF($D44="","",$D44*INDEX(Допущения!$C$25:$G$30,MATCH($C44,Допущения!$B$25:$B$30,0),4))</f>
        <v>18895.680000000004</v>
      </c>
      <c r="I44" s="22">
        <f t="array" ref="I44">IF($D44="","",$D44*INDEX(Допущения!$C$25:$G$30,MATCH($C44,Допущения!$B$25:$B$30,0),5))</f>
        <v>20407.334400000003</v>
      </c>
      <c r="J44" s="22">
        <f>SUM(E44:I44)</f>
        <v>87999.014400000015</v>
      </c>
      <c r="K44" s="23"/>
      <c r="L44" s="24" t="s">
        <v>148</v>
      </c>
    </row>
    <row r="45" spans="2:12" ht="15.75" customHeight="1" x14ac:dyDescent="0.2">
      <c r="B45" s="10" t="s">
        <v>149</v>
      </c>
      <c r="C45" s="16" t="s">
        <v>78</v>
      </c>
      <c r="D45" s="17">
        <v>20000</v>
      </c>
      <c r="E45" s="22">
        <f t="array" ref="E45">IF($D45="","",$D45*INDEX(Допущения!$C$25:$G$30,MATCH($C45,Допущения!$B$25:$B$30,0),1))</f>
        <v>20000</v>
      </c>
      <c r="F45" s="22">
        <v>0</v>
      </c>
      <c r="G45" s="22">
        <v>0</v>
      </c>
      <c r="H45" s="22">
        <v>0</v>
      </c>
      <c r="I45" s="22">
        <v>0</v>
      </c>
      <c r="J45" s="22">
        <f>SUM(E45:I45)</f>
        <v>20000</v>
      </c>
      <c r="K45" s="23"/>
      <c r="L45" s="24" t="s">
        <v>150</v>
      </c>
    </row>
    <row r="46" spans="2:12" ht="15.75" customHeight="1" x14ac:dyDescent="0.2">
      <c r="B46" s="10" t="s">
        <v>151</v>
      </c>
      <c r="C46" s="16" t="s">
        <v>82</v>
      </c>
      <c r="D46" s="17">
        <v>10000</v>
      </c>
      <c r="E46" s="22">
        <f t="array" ref="E46">IF($D46="","",$D46*INDEX(Допущения!$C$25:$G$30,MATCH($C46,Допущения!$B$25:$B$30,0),1))</f>
        <v>10000</v>
      </c>
      <c r="F46" s="22">
        <f t="array" ref="F46">IF($D46="","",$D46*INDEX(Допущения!$C$25:$G$30,MATCH($C46,Допущения!$B$25:$B$30,0),2))</f>
        <v>11200.000000000002</v>
      </c>
      <c r="G46" s="22">
        <f t="array" ref="G46">IF($D46="","",$D46*INDEX(Допущения!$C$25:$G$30,MATCH($C46,Допущения!$B$25:$B$30,0),3))</f>
        <v>12544.000000000002</v>
      </c>
      <c r="H46" s="22">
        <f t="array" ref="H46">IF($D46="","",$D46*INDEX(Допущения!$C$25:$G$30,MATCH($C46,Допущения!$B$25:$B$30,0),4))</f>
        <v>14049.280000000004</v>
      </c>
      <c r="I46" s="22">
        <f t="array" ref="I46">IF($D46="","",$D46*INDEX(Допущения!$C$25:$G$30,MATCH($C46,Допущения!$B$25:$B$30,0),5))</f>
        <v>15735.193600000006</v>
      </c>
      <c r="J46" s="22">
        <f>SUM(E46:I46)</f>
        <v>63528.473600000012</v>
      </c>
      <c r="K46" s="23"/>
      <c r="L46" s="24" t="s">
        <v>152</v>
      </c>
    </row>
    <row r="47" spans="2:12" ht="15.75" customHeight="1" x14ac:dyDescent="0.2">
      <c r="B47" s="10"/>
      <c r="C47" s="16" t="s">
        <v>78</v>
      </c>
      <c r="D47" s="17"/>
      <c r="E47" s="22" t="str">
        <f t="array" ref="E47">IF($D47="","",$D47*INDEX(Допущения!$C$25:$G$30,MATCH($C47,Допущения!$B$25:$B$30,0),1))</f>
        <v/>
      </c>
      <c r="F47" s="22" t="str">
        <f t="array" ref="F47">IF($D47="","",$D47*INDEX(Допущения!$C$25:$G$30,MATCH($C47,Допущения!$B$25:$B$30,0),2))</f>
        <v/>
      </c>
      <c r="G47" s="22" t="str">
        <f t="array" ref="G47">IF($D47="","",$D47*INDEX(Допущения!$C$25:$G$30,MATCH($C47,Допущения!$B$25:$B$30,0),3))</f>
        <v/>
      </c>
      <c r="H47" s="22" t="str">
        <f t="array" ref="H47">IF($D47="","",$D47*INDEX(Допущения!$C$25:$G$30,MATCH($C47,Допущения!$B$25:$B$30,0),4))</f>
        <v/>
      </c>
      <c r="I47" s="22" t="str">
        <f t="array" ref="I47">IF($D47="","",$D47*INDEX(Допущения!$C$25:$G$30,MATCH($C47,Допущения!$B$25:$B$30,0),5))</f>
        <v/>
      </c>
      <c r="J47" s="22">
        <f>SUM(E47:I47)</f>
        <v>0</v>
      </c>
      <c r="K47" s="23"/>
      <c r="L47" s="24" t="s">
        <v>126</v>
      </c>
    </row>
    <row r="48" spans="2:12" ht="15.75" customHeight="1" x14ac:dyDescent="0.2">
      <c r="B48" s="25" t="s">
        <v>114</v>
      </c>
      <c r="C48" s="26"/>
      <c r="D48" s="26"/>
      <c r="E48" s="27">
        <f t="shared" ref="E48:J48" si="6">SUM(E43:E47)</f>
        <v>70000</v>
      </c>
      <c r="F48" s="27">
        <f t="shared" si="6"/>
        <v>27400.000000000004</v>
      </c>
      <c r="G48" s="27">
        <f t="shared" si="6"/>
        <v>30040</v>
      </c>
      <c r="H48" s="27">
        <f t="shared" si="6"/>
        <v>32944.960000000006</v>
      </c>
      <c r="I48" s="27">
        <f t="shared" si="6"/>
        <v>36142.528000000006</v>
      </c>
      <c r="J48" s="27">
        <f t="shared" si="6"/>
        <v>196527.48800000001</v>
      </c>
      <c r="K48" s="28">
        <f>IFERROR(J48/$J$51,0)</f>
        <v>4.4736224247150132E-3</v>
      </c>
      <c r="L48" s="26"/>
    </row>
    <row r="49" spans="2:12" ht="15.75" customHeight="1" x14ac:dyDescent="0.2">
      <c r="C49" s="29"/>
    </row>
    <row r="50" spans="2:12" ht="15.75" customHeight="1" x14ac:dyDescent="0.2">
      <c r="B50" s="14" t="s">
        <v>153</v>
      </c>
      <c r="C50" s="29"/>
      <c r="E50" s="30">
        <f>(E15+E24+E32+E40+E48)*Допущения!$C$17</f>
        <v>131400</v>
      </c>
      <c r="F50" s="30">
        <f>(F15+F24+F32+F40+F48)*Допущения!$C$17</f>
        <v>315898.8</v>
      </c>
      <c r="G50" s="30">
        <f>(G15+G24+G32+G40+G48)*Допущения!$C$17</f>
        <v>842881.70400000003</v>
      </c>
      <c r="H50" s="30">
        <f>(H15+H24+H32+H40+H48)*Допущения!$C$17</f>
        <v>1623078.7603200004</v>
      </c>
      <c r="I50" s="30">
        <f>(I15+I24+I32+I40+I48)*Допущения!$C$17</f>
        <v>2816777.3235455998</v>
      </c>
      <c r="J50" s="22">
        <f>SUM(E50:I50)</f>
        <v>5730036.5878656004</v>
      </c>
      <c r="L50" s="6" t="s">
        <v>154</v>
      </c>
    </row>
    <row r="51" spans="2:12" ht="15.75" customHeight="1" x14ac:dyDescent="0.2">
      <c r="B51" s="25" t="s">
        <v>155</v>
      </c>
      <c r="C51" s="29"/>
      <c r="E51" s="27">
        <f>E15+E24+E32+E40+E48+E50</f>
        <v>1007400</v>
      </c>
      <c r="F51" s="27">
        <f>F15+F24+F32+F40+F48+F50</f>
        <v>2421890.7999999998</v>
      </c>
      <c r="G51" s="27">
        <f>G15+G24+G32+G40+G48+G50</f>
        <v>6462093.0640000002</v>
      </c>
      <c r="H51" s="27">
        <f>H15+H24+H32+H40+H48+H50</f>
        <v>12443603.829120003</v>
      </c>
      <c r="I51" s="27">
        <f>I15+I24+I32+I40+I48+I50</f>
        <v>21595292.813849602</v>
      </c>
      <c r="J51" s="27">
        <f>SUM(E51:I51)</f>
        <v>43930280.506969601</v>
      </c>
    </row>
    <row r="52" spans="2:12" ht="15.75" customHeight="1" x14ac:dyDescent="0.2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">
      <c r="B53" s="10" t="s">
        <v>157</v>
      </c>
      <c r="E53" s="30">
        <f>(1-Допущения!$C$20)*525600*Допущения!$C$19*Допущения!$C$21</f>
        <v>0</v>
      </c>
      <c r="F53" s="30">
        <f>(1-Допущения!$C$20)*525600*Допущения!$C$19*Допущения!$C$21</f>
        <v>0</v>
      </c>
      <c r="G53" s="30">
        <f>(1-Допущения!$C$20)*525600*Допущения!$C$19*Допущения!$C$21</f>
        <v>0</v>
      </c>
      <c r="H53" s="30">
        <f>(1-Допущения!$C$20)*525600*Допущения!$C$19*Допущения!$C$21</f>
        <v>0</v>
      </c>
      <c r="I53" s="30">
        <f>(1-Допущения!$C$20)*525600*Допущения!$C$19*Допущения!$C$21</f>
        <v>0</v>
      </c>
      <c r="J53" s="22">
        <f>SUM(E53:I53)</f>
        <v>0</v>
      </c>
      <c r="L53" s="12" t="s">
        <v>158</v>
      </c>
    </row>
    <row r="54" spans="2:12" ht="15.75" customHeight="1" x14ac:dyDescent="0.2">
      <c r="B54" s="25" t="s">
        <v>159</v>
      </c>
      <c r="E54" s="27">
        <f>E51+E53</f>
        <v>1007400</v>
      </c>
      <c r="F54" s="27">
        <f>F51+F53</f>
        <v>2421890.7999999998</v>
      </c>
      <c r="G54" s="27">
        <f>G51+G53</f>
        <v>6462093.0640000002</v>
      </c>
      <c r="H54" s="27">
        <f>H51+H53</f>
        <v>12443603.829120003</v>
      </c>
      <c r="I54" s="27">
        <f>I51+I53</f>
        <v>21595292.813849602</v>
      </c>
      <c r="J54" s="27">
        <f>SUM(E54:I54)</f>
        <v>43930280.506969601</v>
      </c>
    </row>
    <row r="55" spans="2:12" ht="15.75" customHeight="1" x14ac:dyDescent="0.2">
      <c r="B55" s="10" t="s">
        <v>160</v>
      </c>
      <c r="E55" s="31">
        <f>1/(1+Допущения!$C$16)^0</f>
        <v>1</v>
      </c>
      <c r="F55" s="31">
        <f>1/(1+Допущения!$C$16)^1</f>
        <v>0.83333333333333337</v>
      </c>
      <c r="G55" s="31">
        <f>1/(1+Допущения!$C$16)^2</f>
        <v>0.69444444444444442</v>
      </c>
      <c r="H55" s="31">
        <f>1/(1+Допущения!$C$16)^3</f>
        <v>0.57870370370370372</v>
      </c>
      <c r="I55" s="31">
        <f>1/(1+Допущения!$C$16)^4</f>
        <v>0.48225308641975312</v>
      </c>
    </row>
    <row r="56" spans="2:12" ht="15.75" customHeight="1" x14ac:dyDescent="0.2">
      <c r="B56" s="25" t="s">
        <v>161</v>
      </c>
      <c r="E56" s="27">
        <f>E54*E55</f>
        <v>1007400</v>
      </c>
      <c r="F56" s="27">
        <f>F54*F55</f>
        <v>2018242.3333333333</v>
      </c>
      <c r="G56" s="27">
        <f>G54*G55</f>
        <v>4487564.6277777776</v>
      </c>
      <c r="H56" s="27">
        <f>H54*H55</f>
        <v>7201159.6233333349</v>
      </c>
      <c r="I56" s="27">
        <f>I54*I55</f>
        <v>10414396.611617286</v>
      </c>
      <c r="J56" s="27">
        <f>SUM(E56:I56)</f>
        <v>25128763.19606173</v>
      </c>
    </row>
    <row r="57" spans="2:12" ht="15.75" customHeight="1" x14ac:dyDescent="0.2"/>
    <row r="58" spans="2:12" ht="15.75" customHeight="1" x14ac:dyDescent="0.2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">
      <c r="B59" s="14" t="s">
        <v>163</v>
      </c>
      <c r="E59" s="35">
        <f>J51</f>
        <v>43930280.506969601</v>
      </c>
      <c r="F59" s="36"/>
      <c r="L59" s="12" t="s">
        <v>164</v>
      </c>
    </row>
    <row r="60" spans="2:12" ht="15.75" customHeight="1" x14ac:dyDescent="0.2">
      <c r="B60" s="14" t="s">
        <v>165</v>
      </c>
      <c r="E60" s="35">
        <f>J54</f>
        <v>43930280.506969601</v>
      </c>
      <c r="F60" s="36"/>
      <c r="L60" s="12" t="s">
        <v>166</v>
      </c>
    </row>
    <row r="61" spans="2:12" ht="15.75" customHeight="1" x14ac:dyDescent="0.2">
      <c r="B61" s="14" t="s">
        <v>167</v>
      </c>
      <c r="E61" s="35">
        <f>J56</f>
        <v>25128763.19606173</v>
      </c>
      <c r="F61" s="36"/>
      <c r="L61" s="12" t="s">
        <v>168</v>
      </c>
    </row>
    <row r="62" spans="2:12" ht="15.75" customHeight="1" x14ac:dyDescent="0.2">
      <c r="B62" s="14" t="s">
        <v>169</v>
      </c>
      <c r="E62" s="35">
        <f>J51/5</f>
        <v>8786056.1013939194</v>
      </c>
      <c r="F62" s="36"/>
      <c r="L62" s="12" t="s">
        <v>170</v>
      </c>
    </row>
    <row r="63" spans="2:12" ht="15.75" customHeight="1" x14ac:dyDescent="0.2">
      <c r="B63" s="14" t="s">
        <v>171</v>
      </c>
      <c r="E63" s="35">
        <f>E15/12</f>
        <v>2450</v>
      </c>
      <c r="F63" s="36"/>
      <c r="L63" s="12" t="s">
        <v>172</v>
      </c>
    </row>
    <row r="64" spans="2:12" ht="15.75" customHeight="1" x14ac:dyDescent="0.2">
      <c r="B64" s="14" t="s">
        <v>173</v>
      </c>
      <c r="E64" s="49" t="str">
        <f>IF(E15/12&lt;=Допущения!$C$18,"В бюджете CFO","ПРЕВЫШЕНИЕ бюджета")</f>
        <v>В бюджете CFO</v>
      </c>
      <c r="F64" s="36"/>
      <c r="L64" s="12" t="s">
        <v>174</v>
      </c>
    </row>
    <row r="65" spans="2:12" ht="15.75" customHeight="1" x14ac:dyDescent="0.2">
      <c r="B65" s="14" t="s">
        <v>175</v>
      </c>
      <c r="E65" s="48">
        <f>IFERROR(J51/SUM(Допущения!$C$8:$G$8),0)</f>
        <v>1.6032949090134891</v>
      </c>
      <c r="F65" s="36"/>
      <c r="L65" s="12" t="s">
        <v>176</v>
      </c>
    </row>
    <row r="66" spans="2:12" ht="15.75" customHeight="1" x14ac:dyDescent="0.2">
      <c r="B66" s="14" t="s">
        <v>177</v>
      </c>
      <c r="E66" s="48">
        <f>IFERROR(I51/Допущения!$G$7,0)</f>
        <v>2.1595292813849603</v>
      </c>
      <c r="F66" s="36"/>
      <c r="L66" s="12" t="s">
        <v>178</v>
      </c>
    </row>
    <row r="67" spans="2:12" ht="15.75" customHeight="1" x14ac:dyDescent="0.2">
      <c r="B67" s="14" t="s">
        <v>179</v>
      </c>
      <c r="E67" s="47">
        <f>IFERROR(J51/SUM(Допущения!$C$10:$G$10),0)</f>
        <v>7.542973988147253E-2</v>
      </c>
      <c r="F67" s="36"/>
      <c r="L67" s="12" t="s">
        <v>180</v>
      </c>
    </row>
    <row r="68" spans="2:12" ht="15.75" customHeight="1" x14ac:dyDescent="0.2">
      <c r="B68" s="14" t="s">
        <v>181</v>
      </c>
      <c r="E68" s="45">
        <f>IFERROR(J15/J51,0)</f>
        <v>2.7252713968581636E-2</v>
      </c>
      <c r="F68" s="36"/>
      <c r="L68" s="12" t="s">
        <v>182</v>
      </c>
    </row>
    <row r="69" spans="2:12" ht="15.75" customHeight="1" x14ac:dyDescent="0.2">
      <c r="B69" s="14" t="s">
        <v>183</v>
      </c>
      <c r="E69" s="45">
        <f>IFERROR(J32/J51,0)</f>
        <v>0.75167286934944888</v>
      </c>
      <c r="F69" s="36"/>
      <c r="L69" s="12" t="s">
        <v>184</v>
      </c>
    </row>
    <row r="70" spans="2:12" ht="15.75" customHeight="1" x14ac:dyDescent="0.2">
      <c r="B70" s="14" t="s">
        <v>185</v>
      </c>
      <c r="E70" s="45">
        <f>IFERROR(J40/J51,0)</f>
        <v>7.8090500101763313E-2</v>
      </c>
      <c r="F70" s="36"/>
      <c r="L70" s="12" t="s">
        <v>186</v>
      </c>
    </row>
    <row r="71" spans="2:12" ht="15.75" customHeight="1" x14ac:dyDescent="0.2"/>
    <row r="72" spans="2:12" ht="15.75" customHeight="1" x14ac:dyDescent="0.2">
      <c r="B72" s="46" t="s">
        <v>187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2:12" ht="15" customHeight="1" x14ac:dyDescent="0.2">
      <c r="B73" s="37" t="s">
        <v>188</v>
      </c>
      <c r="C73" s="38"/>
      <c r="D73" s="38"/>
      <c r="E73" s="38"/>
      <c r="F73" s="38"/>
      <c r="G73" s="38"/>
      <c r="H73" s="38"/>
      <c r="I73" s="38"/>
      <c r="J73" s="38"/>
      <c r="K73" s="38"/>
      <c r="L73" s="39"/>
    </row>
    <row r="74" spans="2:12" ht="15.75" customHeight="1" x14ac:dyDescent="0.2">
      <c r="B74" s="40"/>
      <c r="C74" s="33"/>
      <c r="D74" s="33"/>
      <c r="E74" s="33"/>
      <c r="F74" s="33"/>
      <c r="G74" s="33"/>
      <c r="H74" s="33"/>
      <c r="I74" s="33"/>
      <c r="J74" s="33"/>
      <c r="K74" s="33"/>
      <c r="L74" s="41"/>
    </row>
    <row r="75" spans="2:12" ht="15.75" customHeight="1" x14ac:dyDescent="0.2">
      <c r="B75" s="42"/>
      <c r="C75" s="43"/>
      <c r="D75" s="43"/>
      <c r="E75" s="43"/>
      <c r="F75" s="43"/>
      <c r="G75" s="43"/>
      <c r="H75" s="43"/>
      <c r="I75" s="43"/>
      <c r="J75" s="43"/>
      <c r="K75" s="43"/>
      <c r="L75" s="44"/>
    </row>
    <row r="76" spans="2:12" ht="15.75" customHeight="1" x14ac:dyDescent="0.2"/>
    <row r="77" spans="2:12" ht="15.75" customHeight="1" x14ac:dyDescent="0.2"/>
    <row r="78" spans="2:12" ht="15.75" customHeight="1" x14ac:dyDescent="0.2"/>
    <row r="79" spans="2:12" ht="15.75" customHeight="1" x14ac:dyDescent="0.2"/>
    <row r="80" spans="2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dataValidations count="1">
    <dataValidation type="list" allowBlank="1" sqref="C6:C51" xr:uid="{00000000-0002-0000-0200-000000000000}">
      <formula1>"фикс,инфляция,ФОТ,пользователи,заказы,GMV"</formula1>
    </dataValidation>
  </dataValidation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L1000"/>
  <sheetViews>
    <sheetView topLeftCell="B2" workbookViewId="0">
      <selection activeCell="L13" sqref="L13"/>
    </sheetView>
  </sheetViews>
  <sheetFormatPr baseColWidth="10" defaultColWidth="14.5" defaultRowHeight="15" customHeight="1" x14ac:dyDescent="0.2"/>
  <cols>
    <col min="1" max="1" width="3" customWidth="1"/>
    <col min="2" max="2" width="44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6640625" customWidth="1"/>
  </cols>
  <sheetData>
    <row r="2" spans="2:12" ht="18" customHeight="1" x14ac:dyDescent="0.2">
      <c r="B2" s="1" t="s">
        <v>189</v>
      </c>
    </row>
    <row r="3" spans="2:12" x14ac:dyDescent="0.2">
      <c r="B3" s="6" t="s">
        <v>92</v>
      </c>
    </row>
    <row r="5" spans="2:12" ht="31.5" customHeight="1" x14ac:dyDescent="0.2">
      <c r="B5" s="9" t="s">
        <v>93</v>
      </c>
      <c r="C5" s="9" t="s">
        <v>94</v>
      </c>
      <c r="D5" s="9" t="s">
        <v>95</v>
      </c>
      <c r="E5" s="9" t="s">
        <v>42</v>
      </c>
      <c r="F5" s="9" t="s">
        <v>43</v>
      </c>
      <c r="G5" s="9" t="s">
        <v>44</v>
      </c>
      <c r="H5" s="9" t="s">
        <v>45</v>
      </c>
      <c r="I5" s="9" t="s">
        <v>46</v>
      </c>
      <c r="J5" s="9" t="s">
        <v>96</v>
      </c>
      <c r="K5" s="9" t="s">
        <v>97</v>
      </c>
      <c r="L5" s="9" t="s">
        <v>47</v>
      </c>
    </row>
    <row r="6" spans="2:12" x14ac:dyDescent="0.2">
      <c r="B6" s="7" t="s">
        <v>98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ht="26" customHeight="1" x14ac:dyDescent="0.2">
      <c r="B7" s="10" t="s">
        <v>99</v>
      </c>
      <c r="C7" s="16" t="s">
        <v>84</v>
      </c>
      <c r="D7" s="17">
        <v>36000</v>
      </c>
      <c r="E7" s="22">
        <f t="array" ref="E7">IF($D7="","",$D7*INDEX(Допущения!$C$25:$G$30,MATCH($C7,Допущения!$B$25:$B$30,0),1))</f>
        <v>36000</v>
      </c>
      <c r="F7" s="22">
        <f t="array" ref="F7">IF($D7="","",$D7*INDEX(Допущения!$C$25:$G$30,MATCH($C7,Допущения!$B$25:$B$30,0),2))</f>
        <v>108000</v>
      </c>
      <c r="G7" s="22">
        <f t="array" ref="G7">IF($D7="","",$D7*INDEX(Допущения!$C$25:$G$30,MATCH($C7,Допущения!$B$25:$B$30,0),3))</f>
        <v>270000</v>
      </c>
      <c r="H7" s="22">
        <f t="array" ref="H7">IF($D7="","",$D7*INDEX(Допущения!$C$25:$G$30,MATCH($C7,Допущения!$B$25:$B$30,0),4))</f>
        <v>540000</v>
      </c>
      <c r="I7" s="22">
        <f t="array" ref="I7">IF($D7="","",$D7*INDEX(Допущения!$C$25:$G$30,MATCH($C7,Допущения!$B$25:$B$30,0),5))</f>
        <v>900000</v>
      </c>
      <c r="J7" s="22">
        <f t="shared" ref="J7:J14" si="0">SUM(E7:I7)</f>
        <v>1854000</v>
      </c>
      <c r="K7" s="23"/>
      <c r="L7" s="24" t="s">
        <v>190</v>
      </c>
    </row>
    <row r="8" spans="2:12" ht="26" customHeight="1" x14ac:dyDescent="0.2">
      <c r="B8" s="10" t="s">
        <v>101</v>
      </c>
      <c r="C8" s="16" t="s">
        <v>78</v>
      </c>
      <c r="D8" s="17">
        <v>46000</v>
      </c>
      <c r="E8" s="22">
        <f t="array" ref="E8">IF($D8="","",$D8*INDEX(Допущения!$C$25:$G$30,MATCH($C8,Допущения!$B$25:$B$30,0),1))</f>
        <v>46000</v>
      </c>
      <c r="F8" s="22">
        <f t="array" ref="F8">IF($D8="","",$D8*INDEX(Допущения!$C$25:$G$30,MATCH($C8,Допущения!$B$25:$B$30,0),2))</f>
        <v>46000</v>
      </c>
      <c r="G8" s="22">
        <f t="array" ref="G8">IF($D8="","",$D8*INDEX(Допущения!$C$25:$G$30,MATCH($C8,Допущения!$B$25:$B$30,0),3))</f>
        <v>46000</v>
      </c>
      <c r="H8" s="22">
        <f t="array" ref="H8">IF($D8="","",$D8*INDEX(Допущения!$C$25:$G$30,MATCH($C8,Допущения!$B$25:$B$30,0),4))</f>
        <v>46000</v>
      </c>
      <c r="I8" s="22">
        <f t="array" ref="I8">IF($D8="","",$D8*INDEX(Допущения!$C$25:$G$30,MATCH($C8,Допущения!$B$25:$B$30,0),5))</f>
        <v>46000</v>
      </c>
      <c r="J8" s="22">
        <f t="shared" si="0"/>
        <v>230000</v>
      </c>
      <c r="K8" s="23"/>
      <c r="L8" s="24" t="s">
        <v>191</v>
      </c>
    </row>
    <row r="9" spans="2:12" x14ac:dyDescent="0.2">
      <c r="B9" s="10" t="s">
        <v>103</v>
      </c>
      <c r="C9" s="16" t="s">
        <v>84</v>
      </c>
      <c r="D9" s="17">
        <v>6000</v>
      </c>
      <c r="E9" s="22">
        <f t="array" ref="E9">IF($D9="","",$D9*INDEX(Допущения!$C$25:$G$30,MATCH($C9,Допущения!$B$25:$B$30,0),1))</f>
        <v>6000</v>
      </c>
      <c r="F9" s="22">
        <f t="array" ref="F9">IF($D9="","",$D9*INDEX(Допущения!$C$25:$G$30,MATCH($C9,Допущения!$B$25:$B$30,0),2))</f>
        <v>18000</v>
      </c>
      <c r="G9" s="22">
        <f t="array" ref="G9">IF($D9="","",$D9*INDEX(Допущения!$C$25:$G$30,MATCH($C9,Допущения!$B$25:$B$30,0),3))</f>
        <v>45000</v>
      </c>
      <c r="H9" s="22">
        <f t="array" ref="H9">IF($D9="","",$D9*INDEX(Допущения!$C$25:$G$30,MATCH($C9,Допущения!$B$25:$B$30,0),4))</f>
        <v>90000</v>
      </c>
      <c r="I9" s="22">
        <f t="array" ref="I9">IF($D9="","",$D9*INDEX(Допущения!$C$25:$G$30,MATCH($C9,Допущения!$B$25:$B$30,0),5))</f>
        <v>150000</v>
      </c>
      <c r="J9" s="22">
        <f t="shared" si="0"/>
        <v>309000</v>
      </c>
      <c r="K9" s="23"/>
      <c r="L9" s="24" t="s">
        <v>192</v>
      </c>
    </row>
    <row r="10" spans="2:12" x14ac:dyDescent="0.2">
      <c r="B10" s="10" t="s">
        <v>105</v>
      </c>
      <c r="C10" s="16" t="s">
        <v>84</v>
      </c>
      <c r="D10" s="17">
        <v>15000</v>
      </c>
      <c r="E10" s="22">
        <f t="array" ref="E10">IF($D10="","",$D10*INDEX(Допущения!$C$25:$G$30,MATCH($C10,Допущения!$B$25:$B$30,0),1))</f>
        <v>15000</v>
      </c>
      <c r="F10" s="22">
        <f t="array" ref="F10">IF($D10="","",$D10*INDEX(Допущения!$C$25:$G$30,MATCH($C10,Допущения!$B$25:$B$30,0),2))</f>
        <v>45000</v>
      </c>
      <c r="G10" s="22">
        <f t="array" ref="G10">IF($D10="","",$D10*INDEX(Допущения!$C$25:$G$30,MATCH($C10,Допущения!$B$25:$B$30,0),3))</f>
        <v>112500</v>
      </c>
      <c r="H10" s="22">
        <f t="array" ref="H10">IF($D10="","",$D10*INDEX(Допущения!$C$25:$G$30,MATCH($C10,Допущения!$B$25:$B$30,0),4))</f>
        <v>225000</v>
      </c>
      <c r="I10" s="22">
        <f t="array" ref="I10">IF($D10="","",$D10*INDEX(Допущения!$C$25:$G$30,MATCH($C10,Допущения!$B$25:$B$30,0),5))</f>
        <v>375000</v>
      </c>
      <c r="J10" s="22">
        <f t="shared" si="0"/>
        <v>772500</v>
      </c>
      <c r="K10" s="23"/>
      <c r="L10" s="24" t="s">
        <v>193</v>
      </c>
    </row>
    <row r="11" spans="2:12" x14ac:dyDescent="0.2">
      <c r="B11" s="10" t="s">
        <v>107</v>
      </c>
      <c r="C11" s="16" t="s">
        <v>84</v>
      </c>
      <c r="D11" s="17">
        <v>9600</v>
      </c>
      <c r="E11" s="22">
        <f t="array" ref="E11">IF($D11="","",$D11*INDEX(Допущения!$C$25:$G$30,MATCH($C11,Допущения!$B$25:$B$30,0),1))</f>
        <v>9600</v>
      </c>
      <c r="F11" s="22">
        <f t="array" ref="F11">IF($D11="","",$D11*INDEX(Допущения!$C$25:$G$30,MATCH($C11,Допущения!$B$25:$B$30,0),2))</f>
        <v>28800</v>
      </c>
      <c r="G11" s="22">
        <f t="array" ref="G11">IF($D11="","",$D11*INDEX(Допущения!$C$25:$G$30,MATCH($C11,Допущения!$B$25:$B$30,0),3))</f>
        <v>72000</v>
      </c>
      <c r="H11" s="22">
        <f t="array" ref="H11">IF($D11="","",$D11*INDEX(Допущения!$C$25:$G$30,MATCH($C11,Допущения!$B$25:$B$30,0),4))</f>
        <v>144000</v>
      </c>
      <c r="I11" s="22">
        <f t="array" ref="I11">IF($D11="","",$D11*INDEX(Допущения!$C$25:$G$30,MATCH($C11,Допущения!$B$25:$B$30,0),5))</f>
        <v>240000</v>
      </c>
      <c r="J11" s="22">
        <f t="shared" si="0"/>
        <v>494400</v>
      </c>
      <c r="K11" s="23"/>
      <c r="L11" s="24" t="s">
        <v>194</v>
      </c>
    </row>
    <row r="12" spans="2:12" x14ac:dyDescent="0.2">
      <c r="B12" s="10" t="s">
        <v>109</v>
      </c>
      <c r="C12" s="16" t="s">
        <v>84</v>
      </c>
      <c r="D12" s="17">
        <v>36000</v>
      </c>
      <c r="E12" s="22">
        <f t="array" ref="E12">IF($D12="","",$D12*INDEX(Допущения!$C$25:$G$30,MATCH($C12,Допущения!$B$25:$B$30,0),1))</f>
        <v>36000</v>
      </c>
      <c r="F12" s="22">
        <f t="array" ref="F12">IF($D12="","",$D12*INDEX(Допущения!$C$25:$G$30,MATCH($C12,Допущения!$B$25:$B$30,0),2))</f>
        <v>108000</v>
      </c>
      <c r="G12" s="22">
        <f t="array" ref="G12">IF($D12="","",$D12*INDEX(Допущения!$C$25:$G$30,MATCH($C12,Допущения!$B$25:$B$30,0),3))</f>
        <v>270000</v>
      </c>
      <c r="H12" s="22">
        <f t="array" ref="H12">IF($D12="","",$D12*INDEX(Допущения!$C$25:$G$30,MATCH($C12,Допущения!$B$25:$B$30,0),4))</f>
        <v>540000</v>
      </c>
      <c r="I12" s="22">
        <f t="array" ref="I12">IF($D12="","",$D12*INDEX(Допущения!$C$25:$G$30,MATCH($C12,Допущения!$B$25:$B$30,0),5))</f>
        <v>900000</v>
      </c>
      <c r="J12" s="22">
        <f t="shared" si="0"/>
        <v>1854000</v>
      </c>
      <c r="K12" s="23"/>
      <c r="L12" s="24" t="s">
        <v>195</v>
      </c>
    </row>
    <row r="13" spans="2:12" x14ac:dyDescent="0.2">
      <c r="B13" s="10" t="s">
        <v>110</v>
      </c>
      <c r="C13" s="16" t="s">
        <v>80</v>
      </c>
      <c r="D13" s="17">
        <v>18000</v>
      </c>
      <c r="E13" s="22">
        <f t="array" ref="E13">IF($D13="","",$D13*INDEX(Допущения!$C$25:$G$30,MATCH($C13,Допущения!$B$25:$B$30,0),1))</f>
        <v>18000</v>
      </c>
      <c r="F13" s="22">
        <f t="array" ref="F13">IF($D13="","",$D13*INDEX(Допущения!$C$25:$G$30,MATCH($C13,Допущения!$B$25:$B$30,0),2))</f>
        <v>19440</v>
      </c>
      <c r="G13" s="22">
        <f t="array" ref="G13">IF($D13="","",$D13*INDEX(Допущения!$C$25:$G$30,MATCH($C13,Допущения!$B$25:$B$30,0),3))</f>
        <v>20995.200000000001</v>
      </c>
      <c r="H13" s="22">
        <f t="array" ref="H13">IF($D13="","",$D13*INDEX(Допущения!$C$25:$G$30,MATCH($C13,Допущения!$B$25:$B$30,0),4))</f>
        <v>22674.816000000003</v>
      </c>
      <c r="I13" s="22">
        <f t="array" ref="I13">IF($D13="","",$D13*INDEX(Допущения!$C$25:$G$30,MATCH($C13,Допущения!$B$25:$B$30,0),5))</f>
        <v>24488.801280000007</v>
      </c>
      <c r="J13" s="22">
        <f t="shared" si="0"/>
        <v>105598.81728000002</v>
      </c>
      <c r="K13" s="23"/>
      <c r="L13" s="24" t="s">
        <v>196</v>
      </c>
    </row>
    <row r="14" spans="2:12" ht="26" customHeight="1" x14ac:dyDescent="0.2">
      <c r="B14" s="10" t="s">
        <v>112</v>
      </c>
      <c r="C14" s="16" t="s">
        <v>84</v>
      </c>
      <c r="D14" s="17">
        <v>9600</v>
      </c>
      <c r="E14" s="22">
        <v>0</v>
      </c>
      <c r="F14" s="22">
        <f t="array" ref="F14">IF($D14="","",$D14*INDEX(Допущения!$C$25:$G$30,MATCH($C14,Допущения!$B$25:$B$30,0),2))</f>
        <v>28800</v>
      </c>
      <c r="G14" s="22">
        <f t="array" ref="G14">IF($D14="","",$D14*INDEX(Допущения!$C$25:$G$30,MATCH($C14,Допущения!$B$25:$B$30,0),3))</f>
        <v>72000</v>
      </c>
      <c r="H14" s="22">
        <f t="array" ref="H14">IF($D14="","",$D14*INDEX(Допущения!$C$25:$G$30,MATCH($C14,Допущения!$B$25:$B$30,0),4))</f>
        <v>144000</v>
      </c>
      <c r="I14" s="22">
        <f t="array" ref="I14">IF($D14="","",$D14*INDEX(Допущения!$C$25:$G$30,MATCH($C14,Допущения!$B$25:$B$30,0),5))</f>
        <v>240000</v>
      </c>
      <c r="J14" s="22">
        <f t="shared" si="0"/>
        <v>484800</v>
      </c>
      <c r="K14" s="23"/>
      <c r="L14" s="24" t="s">
        <v>197</v>
      </c>
    </row>
    <row r="15" spans="2:12" x14ac:dyDescent="0.2">
      <c r="B15" s="25" t="s">
        <v>114</v>
      </c>
      <c r="C15" s="26"/>
      <c r="D15" s="26"/>
      <c r="E15" s="27">
        <f t="shared" ref="E15:J15" si="1">SUM(E7:E14)</f>
        <v>166600</v>
      </c>
      <c r="F15" s="27">
        <f t="shared" si="1"/>
        <v>402040</v>
      </c>
      <c r="G15" s="27">
        <f t="shared" si="1"/>
        <v>908495.2</v>
      </c>
      <c r="H15" s="27">
        <f t="shared" si="1"/>
        <v>1751674.8160000001</v>
      </c>
      <c r="I15" s="27">
        <f t="shared" si="1"/>
        <v>2875488.8012799998</v>
      </c>
      <c r="J15" s="27">
        <f t="shared" si="1"/>
        <v>6104298.8172800001</v>
      </c>
      <c r="K15" s="28">
        <f>IFERROR(J15/$J$51,0)</f>
        <v>0.10801523912960083</v>
      </c>
      <c r="L15" s="26"/>
    </row>
    <row r="16" spans="2:12" x14ac:dyDescent="0.2">
      <c r="C16" s="29"/>
    </row>
    <row r="17" spans="2:12" x14ac:dyDescent="0.2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ht="26" customHeight="1" x14ac:dyDescent="0.2">
      <c r="B18" s="10" t="s">
        <v>116</v>
      </c>
      <c r="C18" s="16" t="s">
        <v>84</v>
      </c>
      <c r="D18" s="17">
        <v>6000</v>
      </c>
      <c r="E18" s="22">
        <f t="array" ref="E18">IF($D18="","",$D18*INDEX(Допущения!$C$25:$G$30,MATCH($C18,Допущения!$B$25:$B$30,0),1))</f>
        <v>6000</v>
      </c>
      <c r="F18" s="22">
        <f t="array" ref="F18">IF($D18="","",$D18*INDEX(Допущения!$C$25:$G$30,MATCH($C18,Допущения!$B$25:$B$30,0),2))</f>
        <v>18000</v>
      </c>
      <c r="G18" s="22">
        <f t="array" ref="G18">IF($D18="","",$D18*INDEX(Допущения!$C$25:$G$30,MATCH($C18,Допущения!$B$25:$B$30,0),3))</f>
        <v>45000</v>
      </c>
      <c r="H18" s="22">
        <f t="array" ref="H18">IF($D18="","",$D18*INDEX(Допущения!$C$25:$G$30,MATCH($C18,Допущения!$B$25:$B$30,0),4))</f>
        <v>90000</v>
      </c>
      <c r="I18" s="22">
        <f t="array" ref="I18">IF($D18="","",$D18*INDEX(Допущения!$C$25:$G$30,MATCH($C18,Допущения!$B$25:$B$30,0),5))</f>
        <v>150000</v>
      </c>
      <c r="J18" s="22">
        <f t="shared" ref="J18:J23" si="2">SUM(E18:I18)</f>
        <v>309000</v>
      </c>
      <c r="K18" s="23"/>
      <c r="L18" s="24" t="s">
        <v>198</v>
      </c>
    </row>
    <row r="19" spans="2:12" x14ac:dyDescent="0.2">
      <c r="B19" s="10" t="s">
        <v>118</v>
      </c>
      <c r="C19" s="16" t="s">
        <v>80</v>
      </c>
      <c r="D19" s="17">
        <v>3600</v>
      </c>
      <c r="E19" s="22">
        <f t="array" ref="E19">IF($D19="","",$D19*INDEX(Допущения!$C$25:$G$30,MATCH($C19,Допущения!$B$25:$B$30,0),1))</f>
        <v>3600</v>
      </c>
      <c r="F19" s="22">
        <f t="array" ref="F19">IF($D19="","",$D19*INDEX(Допущения!$C$25:$G$30,MATCH($C19,Допущения!$B$25:$B$30,0),2))</f>
        <v>3888.0000000000005</v>
      </c>
      <c r="G19" s="22">
        <f t="array" ref="G19">IF($D19="","",$D19*INDEX(Допущения!$C$25:$G$30,MATCH($C19,Допущения!$B$25:$B$30,0),3))</f>
        <v>4199.04</v>
      </c>
      <c r="H19" s="22">
        <f t="array" ref="H19">IF($D19="","",$D19*INDEX(Допущения!$C$25:$G$30,MATCH($C19,Допущения!$B$25:$B$30,0),4))</f>
        <v>4534.9632000000001</v>
      </c>
      <c r="I19" s="22">
        <f t="array" ref="I19">IF($D19="","",$D19*INDEX(Допущения!$C$25:$G$30,MATCH($C19,Допущения!$B$25:$B$30,0),5))</f>
        <v>4897.7602560000014</v>
      </c>
      <c r="J19" s="22">
        <f t="shared" si="2"/>
        <v>21119.763456000001</v>
      </c>
      <c r="K19" s="23"/>
      <c r="L19" s="24" t="s">
        <v>199</v>
      </c>
    </row>
    <row r="20" spans="2:12" x14ac:dyDescent="0.2">
      <c r="B20" s="10" t="s">
        <v>120</v>
      </c>
      <c r="C20" s="16" t="s">
        <v>84</v>
      </c>
      <c r="D20" s="17">
        <v>12000</v>
      </c>
      <c r="E20" s="22">
        <f t="array" ref="E20">IF($D20="","",$D20*INDEX(Допущения!$C$25:$G$30,MATCH($C20,Допущения!$B$25:$B$30,0),1))</f>
        <v>12000</v>
      </c>
      <c r="F20" s="22">
        <f t="array" ref="F20">IF($D20="","",$D20*INDEX(Допущения!$C$25:$G$30,MATCH($C20,Допущения!$B$25:$B$30,0),2))</f>
        <v>36000</v>
      </c>
      <c r="G20" s="22">
        <f t="array" ref="G20">IF($D20="","",$D20*INDEX(Допущения!$C$25:$G$30,MATCH($C20,Допущения!$B$25:$B$30,0),3))</f>
        <v>90000</v>
      </c>
      <c r="H20" s="22">
        <f t="array" ref="H20">IF($D20="","",$D20*INDEX(Допущения!$C$25:$G$30,MATCH($C20,Допущения!$B$25:$B$30,0),4))</f>
        <v>180000</v>
      </c>
      <c r="I20" s="22">
        <f t="array" ref="I20">IF($D20="","",$D20*INDEX(Допущения!$C$25:$G$30,MATCH($C20,Допущения!$B$25:$B$30,0),5))</f>
        <v>300000</v>
      </c>
      <c r="J20" s="22">
        <f t="shared" si="2"/>
        <v>618000</v>
      </c>
      <c r="K20" s="23"/>
      <c r="L20" s="24" t="s">
        <v>200</v>
      </c>
    </row>
    <row r="21" spans="2:12" ht="15.75" customHeight="1" x14ac:dyDescent="0.2">
      <c r="B21" s="10" t="s">
        <v>122</v>
      </c>
      <c r="C21" s="16" t="s">
        <v>80</v>
      </c>
      <c r="D21" s="17">
        <v>3000</v>
      </c>
      <c r="E21" s="22">
        <f t="array" ref="E21">IF($D21="","",$D21*INDEX(Допущения!$C$25:$G$30,MATCH($C21,Допущения!$B$25:$B$30,0),1))</f>
        <v>3000</v>
      </c>
      <c r="F21" s="22">
        <f t="array" ref="F21">IF($D21="","",$D21*INDEX(Допущения!$C$25:$G$30,MATCH($C21,Допущения!$B$25:$B$30,0),2))</f>
        <v>3240</v>
      </c>
      <c r="G21" s="22">
        <f t="array" ref="G21">IF($D21="","",$D21*INDEX(Допущения!$C$25:$G$30,MATCH($C21,Допущения!$B$25:$B$30,0),3))</f>
        <v>3499.2000000000003</v>
      </c>
      <c r="H21" s="22">
        <f t="array" ref="H21">IF($D21="","",$D21*INDEX(Допущения!$C$25:$G$30,MATCH($C21,Допущения!$B$25:$B$30,0),4))</f>
        <v>3779.1360000000004</v>
      </c>
      <c r="I21" s="22">
        <f t="array" ref="I21">IF($D21="","",$D21*INDEX(Допущения!$C$25:$G$30,MATCH($C21,Допущения!$B$25:$B$30,0),5))</f>
        <v>4081.4668800000009</v>
      </c>
      <c r="J21" s="22">
        <f t="shared" si="2"/>
        <v>17599.802880000003</v>
      </c>
      <c r="K21" s="23"/>
      <c r="L21" s="24" t="s">
        <v>123</v>
      </c>
    </row>
    <row r="22" spans="2:12" ht="15.75" customHeight="1" x14ac:dyDescent="0.2">
      <c r="B22" s="10" t="s">
        <v>124</v>
      </c>
      <c r="C22" s="16" t="s">
        <v>80</v>
      </c>
      <c r="D22" s="17">
        <v>2400</v>
      </c>
      <c r="E22" s="22">
        <f t="array" ref="E22">IF($D22="","",$D22*INDEX(Допущения!$C$25:$G$30,MATCH($C22,Допущения!$B$25:$B$30,0),1))</f>
        <v>2400</v>
      </c>
      <c r="F22" s="22">
        <f t="array" ref="F22">IF($D22="","",$D22*INDEX(Допущения!$C$25:$G$30,MATCH($C22,Допущения!$B$25:$B$30,0),2))</f>
        <v>2592</v>
      </c>
      <c r="G22" s="22">
        <f t="array" ref="G22">IF($D22="","",$D22*INDEX(Допущения!$C$25:$G$30,MATCH($C22,Допущения!$B$25:$B$30,0),3))</f>
        <v>2799.36</v>
      </c>
      <c r="H22" s="22">
        <f t="array" ref="H22">IF($D22="","",$D22*INDEX(Допущения!$C$25:$G$30,MATCH($C22,Допущения!$B$25:$B$30,0),4))</f>
        <v>3023.3088000000002</v>
      </c>
      <c r="I22" s="22">
        <f t="array" ref="I22">IF($D22="","",$D22*INDEX(Допущения!$C$25:$G$30,MATCH($C22,Допущения!$B$25:$B$30,0),5))</f>
        <v>3265.1735040000008</v>
      </c>
      <c r="J22" s="22">
        <f t="shared" si="2"/>
        <v>14079.842304000002</v>
      </c>
      <c r="K22" s="23"/>
      <c r="L22" s="24" t="s">
        <v>201</v>
      </c>
    </row>
    <row r="23" spans="2:12" ht="15.75" customHeight="1" x14ac:dyDescent="0.2">
      <c r="B23" s="10"/>
      <c r="C23" s="16" t="s">
        <v>78</v>
      </c>
      <c r="D23" s="17"/>
      <c r="E23" s="22" t="str">
        <f t="array" ref="E23">IF($D23="","",$D23*INDEX(Допущения!$C$25:$G$30,MATCH($C23,Допущения!$B$25:$B$30,0),1))</f>
        <v/>
      </c>
      <c r="F23" s="22" t="str">
        <f t="array" ref="F23">IF($D23="","",$D23*INDEX(Допущения!$C$25:$G$30,MATCH($C23,Допущения!$B$25:$B$30,0),2))</f>
        <v/>
      </c>
      <c r="G23" s="22" t="str">
        <f t="array" ref="G23">IF($D23="","",$D23*INDEX(Допущения!$C$25:$G$30,MATCH($C23,Допущения!$B$25:$B$30,0),3))</f>
        <v/>
      </c>
      <c r="H23" s="22" t="str">
        <f t="array" ref="H23">IF($D23="","",$D23*INDEX(Допущения!$C$25:$G$30,MATCH($C23,Допущения!$B$25:$B$30,0),4))</f>
        <v/>
      </c>
      <c r="I23" s="22" t="str">
        <f t="array" ref="I23">IF($D23="","",$D23*INDEX(Допущения!$C$25:$G$30,MATCH($C23,Допущения!$B$25:$B$30,0),5))</f>
        <v/>
      </c>
      <c r="J23" s="22">
        <f t="shared" si="2"/>
        <v>0</v>
      </c>
      <c r="K23" s="23"/>
      <c r="L23" s="24" t="s">
        <v>126</v>
      </c>
    </row>
    <row r="24" spans="2:12" ht="15.75" customHeight="1" x14ac:dyDescent="0.2">
      <c r="B24" s="25" t="s">
        <v>114</v>
      </c>
      <c r="C24" s="26"/>
      <c r="D24" s="26"/>
      <c r="E24" s="27">
        <f t="shared" ref="E24:J24" si="3">SUM(E18:E23)</f>
        <v>27000</v>
      </c>
      <c r="F24" s="27">
        <f t="shared" si="3"/>
        <v>63720</v>
      </c>
      <c r="G24" s="27">
        <f t="shared" si="3"/>
        <v>145497.60000000001</v>
      </c>
      <c r="H24" s="27">
        <f t="shared" si="3"/>
        <v>281337.408</v>
      </c>
      <c r="I24" s="27">
        <f t="shared" si="3"/>
        <v>462244.40064000001</v>
      </c>
      <c r="J24" s="27">
        <f t="shared" si="3"/>
        <v>979799.40864000004</v>
      </c>
      <c r="K24" s="28">
        <f>IFERROR(J24/$J$51,0)</f>
        <v>1.7337497817718085E-2</v>
      </c>
      <c r="L24" s="26"/>
    </row>
    <row r="25" spans="2:12" ht="15.75" customHeight="1" x14ac:dyDescent="0.2">
      <c r="C25" s="29"/>
    </row>
    <row r="26" spans="2:12" ht="15.75" customHeight="1" x14ac:dyDescent="0.2">
      <c r="B26" s="7" t="s">
        <v>127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">
      <c r="B27" s="10" t="s">
        <v>128</v>
      </c>
      <c r="C27" s="16" t="s">
        <v>88</v>
      </c>
      <c r="D27" s="17">
        <v>100800</v>
      </c>
      <c r="E27" s="22">
        <f t="array" ref="E27">IF($D27="","",$D27*INDEX(Допущения!$C$25:$G$30,MATCH($C27,Допущения!$B$25:$B$30,0),1))</f>
        <v>100800</v>
      </c>
      <c r="F27" s="22">
        <f t="array" ref="F27">IF($D27="","",$D27*INDEX(Допущения!$C$25:$G$30,MATCH($C27,Допущения!$B$25:$B$30,0),2))</f>
        <v>638400</v>
      </c>
      <c r="G27" s="22">
        <f t="array" ref="G27">IF($D27="","",$D27*INDEX(Допущения!$C$25:$G$30,MATCH($C27,Допущения!$B$25:$B$30,0),3))</f>
        <v>2240000</v>
      </c>
      <c r="H27" s="22">
        <f t="array" ref="H27">IF($D27="","",$D27*INDEX(Допущения!$C$25:$G$30,MATCH($C27,Допущения!$B$25:$B$30,0),4))</f>
        <v>4704000</v>
      </c>
      <c r="I27" s="22">
        <f t="array" ref="I27">IF($D27="","",$D27*INDEX(Допущения!$C$25:$G$30,MATCH($C27,Допущения!$B$25:$B$30,0),5))</f>
        <v>8624000</v>
      </c>
      <c r="J27" s="22">
        <f>SUM(E27:I27)</f>
        <v>16307200</v>
      </c>
      <c r="K27" s="23"/>
      <c r="L27" s="24" t="s">
        <v>202</v>
      </c>
    </row>
    <row r="28" spans="2:12" ht="15.75" customHeight="1" x14ac:dyDescent="0.2">
      <c r="B28" s="10" t="s">
        <v>129</v>
      </c>
      <c r="C28" s="16" t="s">
        <v>86</v>
      </c>
      <c r="D28" s="17">
        <v>16000</v>
      </c>
      <c r="E28" s="22">
        <f t="array" ref="E28">IF($D28="","",$D28*INDEX(Допущения!$C$25:$G$30,MATCH($C28,Допущения!$B$25:$B$30,0),1))</f>
        <v>16000</v>
      </c>
      <c r="F28" s="22">
        <f t="array" ref="F28">IF($D28="","",$D28*INDEX(Допущения!$C$25:$G$30,MATCH($C28,Допущения!$B$25:$B$30,0),2))</f>
        <v>96000</v>
      </c>
      <c r="G28" s="22">
        <f t="array" ref="G28">IF($D28="","",$D28*INDEX(Допущения!$C$25:$G$30,MATCH($C28,Допущения!$B$25:$B$30,0),3))</f>
        <v>320000</v>
      </c>
      <c r="H28" s="22">
        <f t="array" ref="H28">IF($D28="","",$D28*INDEX(Допущения!$C$25:$G$30,MATCH($C28,Допущения!$B$25:$B$30,0),4))</f>
        <v>640000</v>
      </c>
      <c r="I28" s="22">
        <f t="array" ref="I28">IF($D28="","",$D28*INDEX(Допущения!$C$25:$G$30,MATCH($C28,Допущения!$B$25:$B$30,0),5))</f>
        <v>1120000</v>
      </c>
      <c r="J28" s="22">
        <f>SUM(E28:I28)</f>
        <v>2192000</v>
      </c>
      <c r="K28" s="23"/>
      <c r="L28" s="24" t="s">
        <v>203</v>
      </c>
    </row>
    <row r="29" spans="2:12" ht="15.75" customHeight="1" x14ac:dyDescent="0.2">
      <c r="B29" s="10" t="s">
        <v>131</v>
      </c>
      <c r="C29" s="16" t="s">
        <v>86</v>
      </c>
      <c r="D29" s="17">
        <v>6000</v>
      </c>
      <c r="E29" s="22">
        <f t="array" ref="E29">IF($D29="","",$D29*INDEX(Допущения!$C$25:$G$30,MATCH($C29,Допущения!$B$25:$B$30,0),1))</f>
        <v>6000</v>
      </c>
      <c r="F29" s="22">
        <f t="array" ref="F29">IF($D29="","",$D29*INDEX(Допущения!$C$25:$G$30,MATCH($C29,Допущения!$B$25:$B$30,0),2))</f>
        <v>36000</v>
      </c>
      <c r="G29" s="22">
        <f t="array" ref="G29">IF($D29="","",$D29*INDEX(Допущения!$C$25:$G$30,MATCH($C29,Допущения!$B$25:$B$30,0),3))</f>
        <v>120000</v>
      </c>
      <c r="H29" s="22">
        <f t="array" ref="H29">IF($D29="","",$D29*INDEX(Допущения!$C$25:$G$30,MATCH($C29,Допущения!$B$25:$B$30,0),4))</f>
        <v>240000</v>
      </c>
      <c r="I29" s="22">
        <f t="array" ref="I29">IF($D29="","",$D29*INDEX(Допущения!$C$25:$G$30,MATCH($C29,Допущения!$B$25:$B$30,0),5))</f>
        <v>420000</v>
      </c>
      <c r="J29" s="22">
        <f>SUM(E29:I29)</f>
        <v>822000</v>
      </c>
      <c r="K29" s="23"/>
      <c r="L29" s="24" t="s">
        <v>203</v>
      </c>
    </row>
    <row r="30" spans="2:12" ht="15.75" customHeight="1" x14ac:dyDescent="0.2">
      <c r="B30" s="10" t="s">
        <v>133</v>
      </c>
      <c r="C30" s="16" t="s">
        <v>86</v>
      </c>
      <c r="D30" s="17">
        <v>100000</v>
      </c>
      <c r="E30" s="22">
        <f t="array" ref="E30">IF($D30="","",$D30*INDEX(Допущения!$C$25:$G$30,MATCH($C30,Допущения!$B$25:$B$30,0),1))</f>
        <v>100000</v>
      </c>
      <c r="F30" s="22">
        <f t="array" ref="F30">IF($D30="","",$D30*INDEX(Допущения!$C$25:$G$30,MATCH($C30,Допущения!$B$25:$B$30,0),2))</f>
        <v>600000</v>
      </c>
      <c r="G30" s="22">
        <f t="array" ref="G30">IF($D30="","",$D30*INDEX(Допущения!$C$25:$G$30,MATCH($C30,Допущения!$B$25:$B$30,0),3))</f>
        <v>2000000</v>
      </c>
      <c r="H30" s="22">
        <f t="array" ref="H30">IF($D30="","",$D30*INDEX(Допущения!$C$25:$G$30,MATCH($C30,Допущения!$B$25:$B$30,0),4))</f>
        <v>4000000</v>
      </c>
      <c r="I30" s="22">
        <f t="array" ref="I30">IF($D30="","",$D30*INDEX(Допущения!$C$25:$G$30,MATCH($C30,Допущения!$B$25:$B$30,0),5))</f>
        <v>7000000</v>
      </c>
      <c r="J30" s="22">
        <f>SUM(E30:I30)</f>
        <v>13700000</v>
      </c>
      <c r="K30" s="23"/>
      <c r="L30" s="24" t="s">
        <v>203</v>
      </c>
    </row>
    <row r="31" spans="2:12" ht="15.75" customHeight="1" x14ac:dyDescent="0.2">
      <c r="B31" s="10"/>
      <c r="C31" s="16" t="s">
        <v>78</v>
      </c>
      <c r="D31" s="17"/>
      <c r="E31" s="22" t="str">
        <f t="array" ref="E31">IF($D31="","",$D31*INDEX(Допущения!$C$25:$G$30,MATCH($C31,Допущения!$B$25:$B$30,0),1))</f>
        <v/>
      </c>
      <c r="F31" s="22" t="str">
        <f t="array" ref="F31">IF($D31="","",$D31*INDEX(Допущения!$C$25:$G$30,MATCH($C31,Допущения!$B$25:$B$30,0),2))</f>
        <v/>
      </c>
      <c r="G31" s="22" t="str">
        <f t="array" ref="G31">IF($D31="","",$D31*INDEX(Допущения!$C$25:$G$30,MATCH($C31,Допущения!$B$25:$B$30,0),3))</f>
        <v/>
      </c>
      <c r="H31" s="22" t="str">
        <f t="array" ref="H31">IF($D31="","",$D31*INDEX(Допущения!$C$25:$G$30,MATCH($C31,Допущения!$B$25:$B$30,0),4))</f>
        <v/>
      </c>
      <c r="I31" s="22" t="str">
        <f t="array" ref="I31">IF($D31="","",$D31*INDEX(Допущения!$C$25:$G$30,MATCH($C31,Допущения!$B$25:$B$30,0),5))</f>
        <v/>
      </c>
      <c r="J31" s="22">
        <f>SUM(E31:I31)</f>
        <v>0</v>
      </c>
      <c r="K31" s="23"/>
      <c r="L31" s="24" t="s">
        <v>126</v>
      </c>
    </row>
    <row r="32" spans="2:12" ht="15.75" customHeight="1" x14ac:dyDescent="0.2">
      <c r="B32" s="25" t="s">
        <v>114</v>
      </c>
      <c r="C32" s="26"/>
      <c r="D32" s="26"/>
      <c r="E32" s="27">
        <f t="shared" ref="E32:J32" si="4">SUM(E27:E31)</f>
        <v>222800</v>
      </c>
      <c r="F32" s="27">
        <f t="shared" si="4"/>
        <v>1370400</v>
      </c>
      <c r="G32" s="27">
        <f t="shared" si="4"/>
        <v>4680000</v>
      </c>
      <c r="H32" s="27">
        <f t="shared" si="4"/>
        <v>9584000</v>
      </c>
      <c r="I32" s="27">
        <f t="shared" si="4"/>
        <v>17164000</v>
      </c>
      <c r="J32" s="27">
        <f t="shared" si="4"/>
        <v>33021200</v>
      </c>
      <c r="K32" s="28">
        <f>IFERROR(J32/$J$51,0)</f>
        <v>0.58430835729232755</v>
      </c>
      <c r="L32" s="26"/>
    </row>
    <row r="33" spans="2:12" ht="15.75" customHeight="1" x14ac:dyDescent="0.2">
      <c r="C33" s="29"/>
    </row>
    <row r="34" spans="2:12" ht="15.75" customHeight="1" x14ac:dyDescent="0.2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">
      <c r="B35" s="10" t="s">
        <v>136</v>
      </c>
      <c r="C35" s="16" t="s">
        <v>82</v>
      </c>
      <c r="D35" s="17">
        <v>840000</v>
      </c>
      <c r="E35" s="22">
        <f t="array" ref="E35">IF($D35="","",$D35*INDEX(Допущения!$C$25:$G$30,MATCH($C35,Допущения!$B$25:$B$30,0),1))</f>
        <v>840000</v>
      </c>
      <c r="F35" s="22">
        <f t="array" ref="F35">IF($D35="","",$D35*INDEX(Допущения!$C$25:$G$30,MATCH($C35,Допущения!$B$25:$B$30,0),2))</f>
        <v>940800.00000000012</v>
      </c>
      <c r="G35" s="22">
        <f t="array" ref="G35">IF($D35="","",$D35*INDEX(Допущения!$C$25:$G$30,MATCH($C35,Допущения!$B$25:$B$30,0),3))</f>
        <v>1053696.0000000002</v>
      </c>
      <c r="H35" s="22">
        <f t="array" ref="H35">IF($D35="","",$D35*INDEX(Допущения!$C$25:$G$30,MATCH($C35,Допущения!$B$25:$B$30,0),4))</f>
        <v>1180139.5200000003</v>
      </c>
      <c r="I35" s="22">
        <f t="array" ref="I35">IF($D35="","",$D35*INDEX(Допущения!$C$25:$G$30,MATCH($C35,Допущения!$B$25:$B$30,0),5))</f>
        <v>1321756.2624000006</v>
      </c>
      <c r="J35" s="22">
        <f>SUM(E35:I35)</f>
        <v>5336391.7824000008</v>
      </c>
      <c r="K35" s="23"/>
      <c r="L35" s="24" t="s">
        <v>204</v>
      </c>
    </row>
    <row r="36" spans="2:12" ht="15.75" customHeight="1" x14ac:dyDescent="0.2">
      <c r="B36" s="10" t="s">
        <v>138</v>
      </c>
      <c r="C36" s="16" t="s">
        <v>82</v>
      </c>
      <c r="D36" s="17">
        <v>240000</v>
      </c>
      <c r="E36" s="22">
        <f t="array" ref="E36">IF($D36="","",$D36*INDEX(Допущения!$C$25:$G$30,MATCH($C36,Допущения!$B$25:$B$30,0),1))</f>
        <v>240000</v>
      </c>
      <c r="F36" s="22">
        <f t="array" ref="F36">IF($D36="","",$D36*INDEX(Допущения!$C$25:$G$30,MATCH($C36,Допущения!$B$25:$B$30,0),2))</f>
        <v>268800</v>
      </c>
      <c r="G36" s="22">
        <f t="array" ref="G36">IF($D36="","",$D36*INDEX(Допущения!$C$25:$G$30,MATCH($C36,Допущения!$B$25:$B$30,0),3))</f>
        <v>301056.00000000006</v>
      </c>
      <c r="H36" s="22">
        <f t="array" ref="H36">IF($D36="","",$D36*INDEX(Допущения!$C$25:$G$30,MATCH($C36,Допущения!$B$25:$B$30,0),4))</f>
        <v>337182.72000000009</v>
      </c>
      <c r="I36" s="22">
        <f t="array" ref="I36">IF($D36="","",$D36*INDEX(Допущения!$C$25:$G$30,MATCH($C36,Допущения!$B$25:$B$30,0),5))</f>
        <v>377644.64640000014</v>
      </c>
      <c r="J36" s="22">
        <f>SUM(E36:I36)</f>
        <v>1524683.3664000004</v>
      </c>
      <c r="K36" s="23"/>
      <c r="L36" s="24" t="s">
        <v>205</v>
      </c>
    </row>
    <row r="37" spans="2:12" ht="15.75" customHeight="1" x14ac:dyDescent="0.2">
      <c r="B37" s="10" t="s">
        <v>140</v>
      </c>
      <c r="C37" s="16" t="s">
        <v>82</v>
      </c>
      <c r="D37" s="17">
        <v>96000</v>
      </c>
      <c r="E37" s="22">
        <f t="array" ref="E37">IF($D37="","",$D37*INDEX(Допущения!$C$25:$G$30,MATCH($C37,Допущения!$B$25:$B$30,0),1))</f>
        <v>96000</v>
      </c>
      <c r="F37" s="22">
        <f t="array" ref="F37">IF($D37="","",$D37*INDEX(Допущения!$C$25:$G$30,MATCH($C37,Допущения!$B$25:$B$30,0),2))</f>
        <v>107520.00000000001</v>
      </c>
      <c r="G37" s="22">
        <f t="array" ref="G37">IF($D37="","",$D37*INDEX(Допущения!$C$25:$G$30,MATCH($C37,Допущения!$B$25:$B$30,0),3))</f>
        <v>120422.40000000002</v>
      </c>
      <c r="H37" s="22">
        <f t="array" ref="H37">IF($D37="","",$D37*INDEX(Допущения!$C$25:$G$30,MATCH($C37,Допущения!$B$25:$B$30,0),4))</f>
        <v>134873.08800000005</v>
      </c>
      <c r="I37" s="22">
        <f t="array" ref="I37">IF($D37="","",$D37*INDEX(Допущения!$C$25:$G$30,MATCH($C37,Допущения!$B$25:$B$30,0),5))</f>
        <v>151057.85856000005</v>
      </c>
      <c r="J37" s="22">
        <f>SUM(E37:I37)</f>
        <v>609873.34656000009</v>
      </c>
      <c r="K37" s="23"/>
      <c r="L37" s="24" t="s">
        <v>206</v>
      </c>
    </row>
    <row r="38" spans="2:12" ht="15.75" customHeight="1" x14ac:dyDescent="0.2">
      <c r="B38" s="10" t="s">
        <v>142</v>
      </c>
      <c r="C38" s="16" t="s">
        <v>82</v>
      </c>
      <c r="D38" s="17">
        <v>150000</v>
      </c>
      <c r="E38" s="22">
        <f t="array" ref="E38">IF($D38="","",$D38*INDEX(Допущения!$C$25:$G$30,MATCH($C38,Допущения!$B$25:$B$30,0),1))</f>
        <v>150000</v>
      </c>
      <c r="F38" s="22">
        <f t="array" ref="F38">IF($D38="","",$D38*INDEX(Допущения!$C$25:$G$30,MATCH($C38,Допущения!$B$25:$B$30,0),2))</f>
        <v>168000.00000000003</v>
      </c>
      <c r="G38" s="22">
        <f t="array" ref="G38">IF($D38="","",$D38*INDEX(Допущения!$C$25:$G$30,MATCH($C38,Допущения!$B$25:$B$30,0),3))</f>
        <v>188160.00000000003</v>
      </c>
      <c r="H38" s="22">
        <f t="array" ref="H38">IF($D38="","",$D38*INDEX(Допущения!$C$25:$G$30,MATCH($C38,Допущения!$B$25:$B$30,0),4))</f>
        <v>210739.20000000007</v>
      </c>
      <c r="I38" s="22">
        <f t="array" ref="I38">IF($D38="","",$D38*INDEX(Допущения!$C$25:$G$30,MATCH($C38,Допущения!$B$25:$B$30,0),5))</f>
        <v>236027.9040000001</v>
      </c>
      <c r="J38" s="22">
        <f>SUM(E38:I38)</f>
        <v>952927.10400000017</v>
      </c>
      <c r="K38" s="23"/>
      <c r="L38" s="24" t="s">
        <v>207</v>
      </c>
    </row>
    <row r="39" spans="2:12" ht="15.75" customHeight="1" x14ac:dyDescent="0.2">
      <c r="B39" s="10"/>
      <c r="C39" s="16" t="s">
        <v>78</v>
      </c>
      <c r="D39" s="17"/>
      <c r="E39" s="22" t="str">
        <f t="array" ref="E39">IF($D39="","",$D39*INDEX(Допущения!$C$25:$G$30,MATCH($C39,Допущения!$B$25:$B$30,0),1))</f>
        <v/>
      </c>
      <c r="F39" s="22" t="str">
        <f t="array" ref="F39">IF($D39="","",$D39*INDEX(Допущения!$C$25:$G$30,MATCH($C39,Допущения!$B$25:$B$30,0),2))</f>
        <v/>
      </c>
      <c r="G39" s="22" t="str">
        <f t="array" ref="G39">IF($D39="","",$D39*INDEX(Допущения!$C$25:$G$30,MATCH($C39,Допущения!$B$25:$B$30,0),3))</f>
        <v/>
      </c>
      <c r="H39" s="22" t="str">
        <f t="array" ref="H39">IF($D39="","",$D39*INDEX(Допущения!$C$25:$G$30,MATCH($C39,Допущения!$B$25:$B$30,0),4))</f>
        <v/>
      </c>
      <c r="I39" s="22" t="str">
        <f t="array" ref="I39">IF($D39="","",$D39*INDEX(Допущения!$C$25:$G$30,MATCH($C39,Допущения!$B$25:$B$30,0),5))</f>
        <v/>
      </c>
      <c r="J39" s="22">
        <f>SUM(E39:I39)</f>
        <v>0</v>
      </c>
      <c r="K39" s="23"/>
      <c r="L39" s="24" t="s">
        <v>126</v>
      </c>
    </row>
    <row r="40" spans="2:12" ht="15.75" customHeight="1" x14ac:dyDescent="0.2">
      <c r="B40" s="25" t="s">
        <v>114</v>
      </c>
      <c r="C40" s="26"/>
      <c r="D40" s="26"/>
      <c r="E40" s="27">
        <f t="shared" ref="E40:J40" si="5">SUM(E35:E39)</f>
        <v>1326000</v>
      </c>
      <c r="F40" s="27">
        <f t="shared" si="5"/>
        <v>1485120</v>
      </c>
      <c r="G40" s="27">
        <f t="shared" si="5"/>
        <v>1663334.4000000004</v>
      </c>
      <c r="H40" s="27">
        <f t="shared" si="5"/>
        <v>1862934.5280000004</v>
      </c>
      <c r="I40" s="27">
        <f t="shared" si="5"/>
        <v>2086486.671360001</v>
      </c>
      <c r="J40" s="27">
        <f t="shared" si="5"/>
        <v>8423875.5993600022</v>
      </c>
      <c r="K40" s="28">
        <f>IFERROR(J40/$J$51,0)</f>
        <v>0.14906002548353678</v>
      </c>
      <c r="L40" s="26"/>
    </row>
    <row r="41" spans="2:12" ht="15.75" customHeight="1" x14ac:dyDescent="0.2">
      <c r="C41" s="29"/>
    </row>
    <row r="42" spans="2:12" ht="15.75" customHeight="1" x14ac:dyDescent="0.2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2" ht="15.75" customHeight="1" x14ac:dyDescent="0.2">
      <c r="B43" s="10" t="s">
        <v>145</v>
      </c>
      <c r="C43" s="16" t="s">
        <v>78</v>
      </c>
      <c r="D43" s="17">
        <v>25000</v>
      </c>
      <c r="E43" s="22">
        <f t="array" ref="E43">IF($D43="","",$D43*INDEX(Допущения!$C$25:$G$30,MATCH($C43,Допущения!$B$25:$B$30,0),1))</f>
        <v>25000</v>
      </c>
      <c r="F43" s="22">
        <v>0</v>
      </c>
      <c r="G43" s="22">
        <v>0</v>
      </c>
      <c r="H43" s="22">
        <v>0</v>
      </c>
      <c r="I43" s="22">
        <v>0</v>
      </c>
      <c r="J43" s="22">
        <f>SUM(E43:I43)</f>
        <v>25000</v>
      </c>
      <c r="K43" s="23"/>
      <c r="L43" s="24" t="s">
        <v>208</v>
      </c>
    </row>
    <row r="44" spans="2:12" ht="15.75" customHeight="1" x14ac:dyDescent="0.2">
      <c r="B44" s="10" t="s">
        <v>147</v>
      </c>
      <c r="C44" s="16" t="s">
        <v>80</v>
      </c>
      <c r="D44" s="17">
        <v>25000</v>
      </c>
      <c r="E44" s="22">
        <f t="array" ref="E44">IF($D44="","",$D44*INDEX(Допущения!$C$25:$G$30,MATCH($C44,Допущения!$B$25:$B$30,0),1))</f>
        <v>25000</v>
      </c>
      <c r="F44" s="22">
        <f t="array" ref="F44">IF($D44="","",$D44*INDEX(Допущения!$C$25:$G$30,MATCH($C44,Допущения!$B$25:$B$30,0),2))</f>
        <v>27000</v>
      </c>
      <c r="G44" s="22">
        <f t="array" ref="G44">IF($D44="","",$D44*INDEX(Допущения!$C$25:$G$30,MATCH($C44,Допущения!$B$25:$B$30,0),3))</f>
        <v>29160.000000000004</v>
      </c>
      <c r="H44" s="22">
        <f t="array" ref="H44">IF($D44="","",$D44*INDEX(Допущения!$C$25:$G$30,MATCH($C44,Допущения!$B$25:$B$30,0),4))</f>
        <v>31492.800000000003</v>
      </c>
      <c r="I44" s="22">
        <f t="array" ref="I44">IF($D44="","",$D44*INDEX(Допущения!$C$25:$G$30,MATCH($C44,Допущения!$B$25:$B$30,0),5))</f>
        <v>34012.224000000009</v>
      </c>
      <c r="J44" s="22">
        <f>SUM(E44:I44)</f>
        <v>146665.024</v>
      </c>
      <c r="K44" s="23"/>
      <c r="L44" s="24" t="s">
        <v>209</v>
      </c>
    </row>
    <row r="45" spans="2:12" ht="15.75" customHeight="1" x14ac:dyDescent="0.2">
      <c r="B45" s="10" t="s">
        <v>149</v>
      </c>
      <c r="C45" s="16" t="s">
        <v>78</v>
      </c>
      <c r="D45" s="17">
        <v>60000</v>
      </c>
      <c r="E45" s="22">
        <f t="array" ref="E45">IF($D45="","",$D45*INDEX(Допущения!$C$25:$G$30,MATCH($C45,Допущения!$B$25:$B$30,0),1))</f>
        <v>60000</v>
      </c>
      <c r="F45" s="22">
        <v>0</v>
      </c>
      <c r="G45" s="22">
        <v>0</v>
      </c>
      <c r="H45" s="22">
        <v>0</v>
      </c>
      <c r="I45" s="22">
        <v>0</v>
      </c>
      <c r="J45" s="22">
        <f>SUM(E45:I45)</f>
        <v>60000</v>
      </c>
      <c r="K45" s="23"/>
      <c r="L45" s="24" t="s">
        <v>210</v>
      </c>
    </row>
    <row r="46" spans="2:12" ht="15.75" customHeight="1" x14ac:dyDescent="0.2">
      <c r="B46" s="10" t="s">
        <v>151</v>
      </c>
      <c r="C46" s="16" t="s">
        <v>82</v>
      </c>
      <c r="D46" s="17">
        <v>60000</v>
      </c>
      <c r="E46" s="22">
        <f t="array" ref="E46">IF($D46="","",$D46*INDEX(Допущения!$C$25:$G$30,MATCH($C46,Допущения!$B$25:$B$30,0),1))</f>
        <v>60000</v>
      </c>
      <c r="F46" s="22">
        <f t="array" ref="F46">IF($D46="","",$D46*INDEX(Допущения!$C$25:$G$30,MATCH($C46,Допущения!$B$25:$B$30,0),2))</f>
        <v>67200</v>
      </c>
      <c r="G46" s="22">
        <f t="array" ref="G46">IF($D46="","",$D46*INDEX(Допущения!$C$25:$G$30,MATCH($C46,Допущения!$B$25:$B$30,0),3))</f>
        <v>75264.000000000015</v>
      </c>
      <c r="H46" s="22">
        <f t="array" ref="H46">IF($D46="","",$D46*INDEX(Допущения!$C$25:$G$30,MATCH($C46,Допущения!$B$25:$B$30,0),4))</f>
        <v>84295.680000000022</v>
      </c>
      <c r="I46" s="22">
        <f t="array" ref="I46">IF($D46="","",$D46*INDEX(Допущения!$C$25:$G$30,MATCH($C46,Допущения!$B$25:$B$30,0),5))</f>
        <v>94411.161600000036</v>
      </c>
      <c r="J46" s="22">
        <f>SUM(E46:I46)</f>
        <v>381170.8416000001</v>
      </c>
      <c r="K46" s="23"/>
      <c r="L46" s="24" t="s">
        <v>211</v>
      </c>
    </row>
    <row r="47" spans="2:12" ht="15.75" customHeight="1" x14ac:dyDescent="0.2">
      <c r="B47" s="10"/>
      <c r="C47" s="16" t="s">
        <v>78</v>
      </c>
      <c r="D47" s="17"/>
      <c r="E47" s="22" t="str">
        <f t="array" ref="E47">IF($D47="","",$D47*INDEX(Допущения!$C$25:$G$30,MATCH($C47,Допущения!$B$25:$B$30,0),1))</f>
        <v/>
      </c>
      <c r="F47" s="22" t="str">
        <f t="array" ref="F47">IF($D47="","",$D47*INDEX(Допущения!$C$25:$G$30,MATCH($C47,Допущения!$B$25:$B$30,0),2))</f>
        <v/>
      </c>
      <c r="G47" s="22" t="str">
        <f t="array" ref="G47">IF($D47="","",$D47*INDEX(Допущения!$C$25:$G$30,MATCH($C47,Допущения!$B$25:$B$30,0),3))</f>
        <v/>
      </c>
      <c r="H47" s="22" t="str">
        <f t="array" ref="H47">IF($D47="","",$D47*INDEX(Допущения!$C$25:$G$30,MATCH($C47,Допущения!$B$25:$B$30,0),4))</f>
        <v/>
      </c>
      <c r="I47" s="22" t="str">
        <f t="array" ref="I47">IF($D47="","",$D47*INDEX(Допущения!$C$25:$G$30,MATCH($C47,Допущения!$B$25:$B$30,0),5))</f>
        <v/>
      </c>
      <c r="J47" s="22">
        <f>SUM(E47:I47)</f>
        <v>0</v>
      </c>
      <c r="K47" s="23"/>
      <c r="L47" s="24" t="s">
        <v>126</v>
      </c>
    </row>
    <row r="48" spans="2:12" ht="15.75" customHeight="1" x14ac:dyDescent="0.2">
      <c r="B48" s="25" t="s">
        <v>114</v>
      </c>
      <c r="C48" s="26"/>
      <c r="D48" s="26"/>
      <c r="E48" s="27">
        <f t="shared" ref="E48:J48" si="6">SUM(E43:E47)</f>
        <v>170000</v>
      </c>
      <c r="F48" s="27">
        <f t="shared" si="6"/>
        <v>94200</v>
      </c>
      <c r="G48" s="27">
        <f t="shared" si="6"/>
        <v>104424.00000000001</v>
      </c>
      <c r="H48" s="27">
        <f t="shared" si="6"/>
        <v>115788.48000000003</v>
      </c>
      <c r="I48" s="27">
        <f t="shared" si="6"/>
        <v>128423.38560000004</v>
      </c>
      <c r="J48" s="27">
        <f t="shared" si="6"/>
        <v>612835.86560000014</v>
      </c>
      <c r="K48" s="28">
        <f>IFERROR(J48/$J$51,0)</f>
        <v>1.0844097668121017E-2</v>
      </c>
      <c r="L48" s="26"/>
    </row>
    <row r="49" spans="2:12" ht="15.75" customHeight="1" x14ac:dyDescent="0.2">
      <c r="C49" s="29"/>
    </row>
    <row r="50" spans="2:12" ht="15.75" customHeight="1" x14ac:dyDescent="0.2">
      <c r="B50" s="14" t="s">
        <v>153</v>
      </c>
      <c r="C50" s="29"/>
      <c r="E50" s="30">
        <f>(E15+E24+E32+E40+E48)*Допущения!$C$17</f>
        <v>286860</v>
      </c>
      <c r="F50" s="30">
        <f>(F15+F24+F32+F40+F48)*Допущения!$C$17</f>
        <v>512322</v>
      </c>
      <c r="G50" s="30">
        <f>(G15+G24+G32+G40+G48)*Допущения!$C$17</f>
        <v>1125262.68</v>
      </c>
      <c r="H50" s="30">
        <f>(H15+H24+H32+H40+H48)*Допущения!$C$17</f>
        <v>2039360.2848</v>
      </c>
      <c r="I50" s="30">
        <f>(I15+I24+I32+I40+I48)*Допущения!$C$17</f>
        <v>3407496.4888320002</v>
      </c>
      <c r="J50" s="22">
        <f>SUM(E50:I50)</f>
        <v>7371301.4536320008</v>
      </c>
      <c r="L50" s="6" t="s">
        <v>154</v>
      </c>
    </row>
    <row r="51" spans="2:12" ht="15.75" customHeight="1" x14ac:dyDescent="0.2">
      <c r="B51" s="25" t="s">
        <v>155</v>
      </c>
      <c r="C51" s="29"/>
      <c r="E51" s="27">
        <f>E15+E24+E32+E40+E48+E50</f>
        <v>2199260</v>
      </c>
      <c r="F51" s="27">
        <f>F15+F24+F32+F40+F48+F50</f>
        <v>3927802</v>
      </c>
      <c r="G51" s="27">
        <f>G15+G24+G32+G40+G48+G50</f>
        <v>8627013.8800000008</v>
      </c>
      <c r="H51" s="27">
        <f>H15+H24+H32+H40+H48+H50</f>
        <v>15635095.516800001</v>
      </c>
      <c r="I51" s="27">
        <f>I15+I24+I32+I40+I48+I50</f>
        <v>26124139.747712001</v>
      </c>
      <c r="J51" s="27">
        <f>SUM(E51:I51)</f>
        <v>56513311.144512005</v>
      </c>
    </row>
    <row r="52" spans="2:12" ht="15.75" customHeight="1" x14ac:dyDescent="0.2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">
      <c r="B53" s="10" t="s">
        <v>157</v>
      </c>
      <c r="E53" s="30">
        <f>(1-Допущения!$C$20)*525600*Допущения!$C$19*Допущения!$C$21</f>
        <v>0</v>
      </c>
      <c r="F53" s="30">
        <f>(1-Допущения!$C$20)*525600*Допущения!$C$19*Допущения!$C$21</f>
        <v>0</v>
      </c>
      <c r="G53" s="30">
        <f>(1-Допущения!$C$20)*525600*Допущения!$C$19*Допущения!$C$21</f>
        <v>0</v>
      </c>
      <c r="H53" s="30">
        <f>(1-Допущения!$C$20)*525600*Допущения!$C$19*Допущения!$C$21</f>
        <v>0</v>
      </c>
      <c r="I53" s="30">
        <f>(1-Допущения!$C$20)*525600*Допущения!$C$19*Допущения!$C$21</f>
        <v>0</v>
      </c>
      <c r="J53" s="22">
        <f>SUM(E53:I53)</f>
        <v>0</v>
      </c>
      <c r="L53" s="12" t="s">
        <v>158</v>
      </c>
    </row>
    <row r="54" spans="2:12" ht="15.75" customHeight="1" x14ac:dyDescent="0.2">
      <c r="B54" s="25" t="s">
        <v>159</v>
      </c>
      <c r="E54" s="27">
        <f>E51+E53</f>
        <v>2199260</v>
      </c>
      <c r="F54" s="27">
        <f>F51+F53</f>
        <v>3927802</v>
      </c>
      <c r="G54" s="27">
        <f>G51+G53</f>
        <v>8627013.8800000008</v>
      </c>
      <c r="H54" s="27">
        <f>H51+H53</f>
        <v>15635095.516800001</v>
      </c>
      <c r="I54" s="27">
        <f>I51+I53</f>
        <v>26124139.747712001</v>
      </c>
      <c r="J54" s="27">
        <f>SUM(E54:I54)</f>
        <v>56513311.144512005</v>
      </c>
    </row>
    <row r="55" spans="2:12" ht="15.75" customHeight="1" x14ac:dyDescent="0.2">
      <c r="B55" s="10" t="s">
        <v>160</v>
      </c>
      <c r="E55" s="31">
        <f>1/(1+Допущения!$C$16)^0</f>
        <v>1</v>
      </c>
      <c r="F55" s="31">
        <f>1/(1+Допущения!$C$16)^1</f>
        <v>0.83333333333333337</v>
      </c>
      <c r="G55" s="31">
        <f>1/(1+Допущения!$C$16)^2</f>
        <v>0.69444444444444442</v>
      </c>
      <c r="H55" s="31">
        <f>1/(1+Допущения!$C$16)^3</f>
        <v>0.57870370370370372</v>
      </c>
      <c r="I55" s="31">
        <f>1/(1+Допущения!$C$16)^4</f>
        <v>0.48225308641975312</v>
      </c>
    </row>
    <row r="56" spans="2:12" ht="15.75" customHeight="1" x14ac:dyDescent="0.2">
      <c r="B56" s="25" t="s">
        <v>161</v>
      </c>
      <c r="E56" s="27">
        <f>E54*E55</f>
        <v>2199260</v>
      </c>
      <c r="F56" s="27">
        <f>F54*F55</f>
        <v>3273168.3333333335</v>
      </c>
      <c r="G56" s="27">
        <f>G54*G55</f>
        <v>5990981.861111111</v>
      </c>
      <c r="H56" s="27">
        <f>H54*H55</f>
        <v>9048087.6833333336</v>
      </c>
      <c r="I56" s="27">
        <f>I54*I55</f>
        <v>12598447.023395063</v>
      </c>
      <c r="J56" s="27">
        <f>SUM(E56:I56)</f>
        <v>33109944.901172839</v>
      </c>
    </row>
    <row r="57" spans="2:12" ht="15.75" customHeight="1" x14ac:dyDescent="0.2"/>
    <row r="58" spans="2:12" ht="15.75" customHeight="1" x14ac:dyDescent="0.2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">
      <c r="B59" s="14" t="s">
        <v>163</v>
      </c>
      <c r="E59" s="35">
        <f>J51</f>
        <v>56513311.144512005</v>
      </c>
      <c r="F59" s="36"/>
      <c r="L59" s="12" t="s">
        <v>164</v>
      </c>
    </row>
    <row r="60" spans="2:12" ht="15.75" customHeight="1" x14ac:dyDescent="0.2">
      <c r="B60" s="14" t="s">
        <v>165</v>
      </c>
      <c r="E60" s="35">
        <f>J54</f>
        <v>56513311.144512005</v>
      </c>
      <c r="F60" s="36"/>
      <c r="L60" s="12" t="s">
        <v>166</v>
      </c>
    </row>
    <row r="61" spans="2:12" ht="15.75" customHeight="1" x14ac:dyDescent="0.2">
      <c r="B61" s="14" t="s">
        <v>167</v>
      </c>
      <c r="E61" s="35">
        <f>J56</f>
        <v>33109944.901172839</v>
      </c>
      <c r="F61" s="36"/>
      <c r="L61" s="12" t="s">
        <v>168</v>
      </c>
    </row>
    <row r="62" spans="2:12" ht="15.75" customHeight="1" x14ac:dyDescent="0.2">
      <c r="B62" s="14" t="s">
        <v>169</v>
      </c>
      <c r="E62" s="35">
        <f>J51/5</f>
        <v>11302662.228902401</v>
      </c>
      <c r="F62" s="36"/>
      <c r="L62" s="12" t="s">
        <v>170</v>
      </c>
    </row>
    <row r="63" spans="2:12" ht="15.75" customHeight="1" x14ac:dyDescent="0.2">
      <c r="B63" s="14" t="s">
        <v>171</v>
      </c>
      <c r="E63" s="35">
        <f>E15/12</f>
        <v>13883.333333333334</v>
      </c>
      <c r="F63" s="36"/>
      <c r="L63" s="12" t="s">
        <v>172</v>
      </c>
    </row>
    <row r="64" spans="2:12" ht="15.75" customHeight="1" x14ac:dyDescent="0.2">
      <c r="B64" s="14" t="s">
        <v>173</v>
      </c>
      <c r="E64" s="49" t="str">
        <f>IF(E15/12&lt;=Допущения!$C$18,"В бюджете CFO","ПРЕВЫШЕНИЕ бюджета")</f>
        <v>ПРЕВЫШЕНИЕ бюджета</v>
      </c>
      <c r="F64" s="36"/>
      <c r="L64" s="12" t="s">
        <v>174</v>
      </c>
    </row>
    <row r="65" spans="2:12" ht="15.75" customHeight="1" x14ac:dyDescent="0.2">
      <c r="B65" s="14" t="s">
        <v>175</v>
      </c>
      <c r="E65" s="48">
        <f>IFERROR(J51/SUM(Допущения!$C$8:$G$8),0)</f>
        <v>2.0625296038143066</v>
      </c>
      <c r="F65" s="36"/>
      <c r="L65" s="12" t="s">
        <v>176</v>
      </c>
    </row>
    <row r="66" spans="2:12" ht="15.75" customHeight="1" x14ac:dyDescent="0.2">
      <c r="B66" s="14" t="s">
        <v>177</v>
      </c>
      <c r="E66" s="48">
        <f>IFERROR(I51/Допущения!$G$7,0)</f>
        <v>2.6124139747712003</v>
      </c>
      <c r="F66" s="36"/>
      <c r="L66" s="12" t="s">
        <v>178</v>
      </c>
    </row>
    <row r="67" spans="2:12" ht="15.75" customHeight="1" x14ac:dyDescent="0.2">
      <c r="B67" s="14" t="s">
        <v>179</v>
      </c>
      <c r="E67" s="47">
        <f>IFERROR(J51/SUM(Допущения!$C$10:$G$10),0)</f>
        <v>9.7035218311318686E-2</v>
      </c>
      <c r="F67" s="36"/>
      <c r="L67" s="12" t="s">
        <v>180</v>
      </c>
    </row>
    <row r="68" spans="2:12" ht="15.75" customHeight="1" x14ac:dyDescent="0.2">
      <c r="B68" s="14" t="s">
        <v>181</v>
      </c>
      <c r="E68" s="45">
        <f>IFERROR(J15/J51,0)</f>
        <v>0.10801523912960083</v>
      </c>
      <c r="F68" s="36"/>
      <c r="L68" s="12" t="s">
        <v>182</v>
      </c>
    </row>
    <row r="69" spans="2:12" ht="15.75" customHeight="1" x14ac:dyDescent="0.2">
      <c r="B69" s="14" t="s">
        <v>183</v>
      </c>
      <c r="E69" s="45">
        <f>IFERROR(J32/J51,0)</f>
        <v>0.58430835729232755</v>
      </c>
      <c r="F69" s="36"/>
      <c r="L69" s="12" t="s">
        <v>184</v>
      </c>
    </row>
    <row r="70" spans="2:12" ht="15.75" customHeight="1" x14ac:dyDescent="0.2">
      <c r="B70" s="14" t="s">
        <v>185</v>
      </c>
      <c r="E70" s="45">
        <f>IFERROR(J40/J51,0)</f>
        <v>0.14906002548353678</v>
      </c>
      <c r="F70" s="36"/>
      <c r="L70" s="12" t="s">
        <v>186</v>
      </c>
    </row>
    <row r="71" spans="2:12" ht="15.75" customHeight="1" x14ac:dyDescent="0.2"/>
    <row r="72" spans="2:12" ht="15.75" customHeight="1" x14ac:dyDescent="0.2">
      <c r="B72" s="46" t="s">
        <v>187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2:12" ht="15" customHeight="1" x14ac:dyDescent="0.2">
      <c r="B73" s="37" t="s">
        <v>212</v>
      </c>
      <c r="C73" s="38"/>
      <c r="D73" s="38"/>
      <c r="E73" s="38"/>
      <c r="F73" s="38"/>
      <c r="G73" s="38"/>
      <c r="H73" s="38"/>
      <c r="I73" s="38"/>
      <c r="J73" s="38"/>
      <c r="K73" s="38"/>
      <c r="L73" s="39"/>
    </row>
    <row r="74" spans="2:12" ht="15.75" customHeight="1" x14ac:dyDescent="0.2">
      <c r="B74" s="40"/>
      <c r="C74" s="33"/>
      <c r="D74" s="33"/>
      <c r="E74" s="33"/>
      <c r="F74" s="33"/>
      <c r="G74" s="33"/>
      <c r="H74" s="33"/>
      <c r="I74" s="33"/>
      <c r="J74" s="33"/>
      <c r="K74" s="33"/>
      <c r="L74" s="41"/>
    </row>
    <row r="75" spans="2:12" ht="15.75" customHeight="1" x14ac:dyDescent="0.2">
      <c r="B75" s="42"/>
      <c r="C75" s="43"/>
      <c r="D75" s="43"/>
      <c r="E75" s="43"/>
      <c r="F75" s="43"/>
      <c r="G75" s="43"/>
      <c r="H75" s="43"/>
      <c r="I75" s="43"/>
      <c r="J75" s="43"/>
      <c r="K75" s="43"/>
      <c r="L75" s="44"/>
    </row>
    <row r="76" spans="2:12" ht="15.75" customHeight="1" x14ac:dyDescent="0.2"/>
    <row r="77" spans="2:12" ht="15.75" customHeight="1" x14ac:dyDescent="0.2"/>
    <row r="78" spans="2:12" ht="15.75" customHeight="1" x14ac:dyDescent="0.2"/>
    <row r="79" spans="2:12" ht="15.75" customHeight="1" x14ac:dyDescent="0.2"/>
    <row r="80" spans="2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1000"/>
  <sheetViews>
    <sheetView tabSelected="1" workbookViewId="0">
      <selection activeCell="L12" sqref="L12"/>
    </sheetView>
  </sheetViews>
  <sheetFormatPr baseColWidth="10" defaultColWidth="14.5" defaultRowHeight="15" customHeight="1" x14ac:dyDescent="0.2"/>
  <cols>
    <col min="1" max="1" width="3" customWidth="1"/>
    <col min="2" max="2" width="44" customWidth="1"/>
    <col min="3" max="3" width="16" customWidth="1"/>
    <col min="4" max="4" width="15" customWidth="1"/>
    <col min="5" max="10" width="14" customWidth="1"/>
    <col min="11" max="11" width="10" customWidth="1"/>
    <col min="12" max="12" width="46" customWidth="1"/>
    <col min="13" max="26" width="8.6640625" customWidth="1"/>
  </cols>
  <sheetData>
    <row r="2" spans="2:12" ht="18" customHeight="1" x14ac:dyDescent="0.2">
      <c r="B2" s="1" t="s">
        <v>213</v>
      </c>
    </row>
    <row r="3" spans="2:12" x14ac:dyDescent="0.2">
      <c r="B3" s="6" t="s">
        <v>92</v>
      </c>
    </row>
    <row r="5" spans="2:12" ht="31.5" customHeight="1" x14ac:dyDescent="0.2">
      <c r="B5" s="9" t="s">
        <v>93</v>
      </c>
      <c r="C5" s="9" t="s">
        <v>94</v>
      </c>
      <c r="D5" s="9" t="s">
        <v>95</v>
      </c>
      <c r="E5" s="9" t="s">
        <v>42</v>
      </c>
      <c r="F5" s="9" t="s">
        <v>43</v>
      </c>
      <c r="G5" s="9" t="s">
        <v>44</v>
      </c>
      <c r="H5" s="9" t="s">
        <v>45</v>
      </c>
      <c r="I5" s="9" t="s">
        <v>46</v>
      </c>
      <c r="J5" s="9" t="s">
        <v>96</v>
      </c>
      <c r="K5" s="9" t="s">
        <v>97</v>
      </c>
      <c r="L5" s="9" t="s">
        <v>47</v>
      </c>
    </row>
    <row r="6" spans="2:12" x14ac:dyDescent="0.2">
      <c r="B6" s="7" t="s">
        <v>98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2:12" x14ac:dyDescent="0.2">
      <c r="B7" s="10" t="s">
        <v>99</v>
      </c>
      <c r="C7" s="16" t="s">
        <v>84</v>
      </c>
      <c r="D7" s="17">
        <v>14400</v>
      </c>
      <c r="E7" s="22">
        <f t="array" ref="E7">IF($D7="","",$D7*INDEX(Допущения!$C$25:$G$30,MATCH($C7,Допущения!$B$25:$B$30,0),1))</f>
        <v>14400</v>
      </c>
      <c r="F7" s="22">
        <f t="array" ref="F7">IF($D7="","",$D7*INDEX(Допущения!$C$25:$G$30,MATCH($C7,Допущения!$B$25:$B$30,0),2))</f>
        <v>43200</v>
      </c>
      <c r="G7" s="22">
        <f t="array" ref="G7">IF($D7="","",$D7*INDEX(Допущения!$C$25:$G$30,MATCH($C7,Допущения!$B$25:$B$30,0),3))</f>
        <v>108000</v>
      </c>
      <c r="H7" s="22">
        <f t="array" ref="H7">IF($D7="","",$D7*INDEX(Допущения!$C$25:$G$30,MATCH($C7,Допущения!$B$25:$B$30,0),4))</f>
        <v>216000</v>
      </c>
      <c r="I7" s="22">
        <f t="array" ref="I7">IF($D7="","",$D7*INDEX(Допущения!$C$25:$G$30,MATCH($C7,Допущения!$B$25:$B$30,0),5))</f>
        <v>360000</v>
      </c>
      <c r="J7" s="22">
        <f t="shared" ref="J7:J14" si="0">SUM(E7:I7)</f>
        <v>741600</v>
      </c>
      <c r="K7" s="23"/>
      <c r="L7" s="24" t="s">
        <v>214</v>
      </c>
    </row>
    <row r="8" spans="2:12" x14ac:dyDescent="0.2">
      <c r="B8" s="10" t="s">
        <v>101</v>
      </c>
      <c r="C8" s="16" t="s">
        <v>84</v>
      </c>
      <c r="D8" s="17">
        <v>7200</v>
      </c>
      <c r="E8" s="22">
        <f t="array" ref="E8">IF($D8="","",$D8*INDEX(Допущения!$C$25:$G$30,MATCH($C8,Допущения!$B$25:$B$30,0),1))</f>
        <v>7200</v>
      </c>
      <c r="F8" s="22">
        <f t="array" ref="F8">IF($D8="","",$D8*INDEX(Допущения!$C$25:$G$30,MATCH($C8,Допущения!$B$25:$B$30,0),2))</f>
        <v>21600</v>
      </c>
      <c r="G8" s="22">
        <f t="array" ref="G8">IF($D8="","",$D8*INDEX(Допущения!$C$25:$G$30,MATCH($C8,Допущения!$B$25:$B$30,0),3))</f>
        <v>54000</v>
      </c>
      <c r="H8" s="22">
        <f t="array" ref="H8">IF($D8="","",$D8*INDEX(Допущения!$C$25:$G$30,MATCH($C8,Допущения!$B$25:$B$30,0),4))</f>
        <v>108000</v>
      </c>
      <c r="I8" s="22">
        <f t="array" ref="I8">IF($D8="","",$D8*INDEX(Допущения!$C$25:$G$30,MATCH($C8,Допущения!$B$25:$B$30,0),5))</f>
        <v>180000</v>
      </c>
      <c r="J8" s="22">
        <f t="shared" si="0"/>
        <v>370800</v>
      </c>
      <c r="K8" s="23"/>
      <c r="L8" s="24" t="s">
        <v>215</v>
      </c>
    </row>
    <row r="9" spans="2:12" x14ac:dyDescent="0.2">
      <c r="B9" s="10" t="s">
        <v>103</v>
      </c>
      <c r="C9" s="16" t="s">
        <v>84</v>
      </c>
      <c r="D9" s="17">
        <v>2400</v>
      </c>
      <c r="E9" s="22">
        <f t="array" ref="E9">IF($D9="","",$D9*INDEX(Допущения!$C$25:$G$30,MATCH($C9,Допущения!$B$25:$B$30,0),1))</f>
        <v>2400</v>
      </c>
      <c r="F9" s="22">
        <f t="array" ref="F9">IF($D9="","",$D9*INDEX(Допущения!$C$25:$G$30,MATCH($C9,Допущения!$B$25:$B$30,0),2))</f>
        <v>7200</v>
      </c>
      <c r="G9" s="22">
        <f t="array" ref="G9">IF($D9="","",$D9*INDEX(Допущения!$C$25:$G$30,MATCH($C9,Допущения!$B$25:$B$30,0),3))</f>
        <v>18000</v>
      </c>
      <c r="H9" s="22">
        <f t="array" ref="H9">IF($D9="","",$D9*INDEX(Допущения!$C$25:$G$30,MATCH($C9,Допущения!$B$25:$B$30,0),4))</f>
        <v>36000</v>
      </c>
      <c r="I9" s="22">
        <f t="array" ref="I9">IF($D9="","",$D9*INDEX(Допущения!$C$25:$G$30,MATCH($C9,Допущения!$B$25:$B$30,0),5))</f>
        <v>60000</v>
      </c>
      <c r="J9" s="22">
        <f t="shared" si="0"/>
        <v>123600</v>
      </c>
      <c r="K9" s="23"/>
      <c r="L9" s="24" t="s">
        <v>216</v>
      </c>
    </row>
    <row r="10" spans="2:12" x14ac:dyDescent="0.2">
      <c r="B10" s="10" t="s">
        <v>105</v>
      </c>
      <c r="C10" s="16" t="s">
        <v>84</v>
      </c>
      <c r="D10" s="17">
        <v>4800</v>
      </c>
      <c r="E10" s="22">
        <f t="array" ref="E10">IF($D10="","",$D10*INDEX(Допущения!$C$25:$G$30,MATCH($C10,Допущения!$B$25:$B$30,0),1))</f>
        <v>4800</v>
      </c>
      <c r="F10" s="22">
        <f t="array" ref="F10">IF($D10="","",$D10*INDEX(Допущения!$C$25:$G$30,MATCH($C10,Допущения!$B$25:$B$30,0),2))</f>
        <v>14400</v>
      </c>
      <c r="G10" s="22">
        <f t="array" ref="G10">IF($D10="","",$D10*INDEX(Допущения!$C$25:$G$30,MATCH($C10,Допущения!$B$25:$B$30,0),3))</f>
        <v>36000</v>
      </c>
      <c r="H10" s="22">
        <f t="array" ref="H10">IF($D10="","",$D10*INDEX(Допущения!$C$25:$G$30,MATCH($C10,Допущения!$B$25:$B$30,0),4))</f>
        <v>72000</v>
      </c>
      <c r="I10" s="22">
        <f t="array" ref="I10">IF($D10="","",$D10*INDEX(Допущения!$C$25:$G$30,MATCH($C10,Допущения!$B$25:$B$30,0),5))</f>
        <v>120000</v>
      </c>
      <c r="J10" s="22">
        <f t="shared" si="0"/>
        <v>247200</v>
      </c>
      <c r="K10" s="23"/>
      <c r="L10" s="24" t="s">
        <v>193</v>
      </c>
    </row>
    <row r="11" spans="2:12" x14ac:dyDescent="0.2">
      <c r="B11" s="10" t="s">
        <v>107</v>
      </c>
      <c r="C11" s="16" t="s">
        <v>84</v>
      </c>
      <c r="D11" s="17">
        <v>2400</v>
      </c>
      <c r="E11" s="22">
        <f t="array" ref="E11">IF($D11="","",$D11*INDEX(Допущения!$C$25:$G$30,MATCH($C11,Допущения!$B$25:$B$30,0),1))</f>
        <v>2400</v>
      </c>
      <c r="F11" s="22">
        <f t="array" ref="F11">IF($D11="","",$D11*INDEX(Допущения!$C$25:$G$30,MATCH($C11,Допущения!$B$25:$B$30,0),2))</f>
        <v>7200</v>
      </c>
      <c r="G11" s="22">
        <f t="array" ref="G11">IF($D11="","",$D11*INDEX(Допущения!$C$25:$G$30,MATCH($C11,Допущения!$B$25:$B$30,0),3))</f>
        <v>18000</v>
      </c>
      <c r="H11" s="22">
        <f t="array" ref="H11">IF($D11="","",$D11*INDEX(Допущения!$C$25:$G$30,MATCH($C11,Допущения!$B$25:$B$30,0),4))</f>
        <v>36000</v>
      </c>
      <c r="I11" s="22">
        <f t="array" ref="I11">IF($D11="","",$D11*INDEX(Допущения!$C$25:$G$30,MATCH($C11,Допущения!$B$25:$B$30,0),5))</f>
        <v>60000</v>
      </c>
      <c r="J11" s="22">
        <f t="shared" si="0"/>
        <v>123600</v>
      </c>
      <c r="K11" s="23"/>
      <c r="L11" s="24" t="s">
        <v>217</v>
      </c>
    </row>
    <row r="12" spans="2:12" x14ac:dyDescent="0.2">
      <c r="B12" s="10" t="s">
        <v>109</v>
      </c>
      <c r="C12" s="16" t="s">
        <v>84</v>
      </c>
      <c r="D12" s="17">
        <v>6000</v>
      </c>
      <c r="E12" s="22">
        <f t="array" ref="E12">IF($D12="","",$D12*INDEX(Допущения!$C$25:$G$30,MATCH($C12,Допущения!$B$25:$B$30,0),1))</f>
        <v>6000</v>
      </c>
      <c r="F12" s="22">
        <f t="array" ref="F12">IF($D12="","",$D12*INDEX(Допущения!$C$25:$G$30,MATCH($C12,Допущения!$B$25:$B$30,0),2))</f>
        <v>18000</v>
      </c>
      <c r="G12" s="22">
        <f t="array" ref="G12">IF($D12="","",$D12*INDEX(Допущения!$C$25:$G$30,MATCH($C12,Допущения!$B$25:$B$30,0),3))</f>
        <v>45000</v>
      </c>
      <c r="H12" s="22">
        <f t="array" ref="H12">IF($D12="","",$D12*INDEX(Допущения!$C$25:$G$30,MATCH($C12,Допущения!$B$25:$B$30,0),4))</f>
        <v>90000</v>
      </c>
      <c r="I12" s="22">
        <f t="array" ref="I12">IF($D12="","",$D12*INDEX(Допущения!$C$25:$G$30,MATCH($C12,Допущения!$B$25:$B$30,0),5))</f>
        <v>150000</v>
      </c>
      <c r="J12" s="22">
        <f t="shared" si="0"/>
        <v>309000</v>
      </c>
      <c r="K12" s="23"/>
      <c r="L12" s="24" t="s">
        <v>233</v>
      </c>
    </row>
    <row r="13" spans="2:12" x14ac:dyDescent="0.2">
      <c r="B13" s="10" t="s">
        <v>110</v>
      </c>
      <c r="C13" s="16" t="s">
        <v>80</v>
      </c>
      <c r="D13" s="17">
        <v>9600</v>
      </c>
      <c r="E13" s="22">
        <f t="array" ref="E13">IF($D13="","",$D13*INDEX(Допущения!$C$25:$G$30,MATCH($C13,Допущения!$B$25:$B$30,0),1))</f>
        <v>9600</v>
      </c>
      <c r="F13" s="22">
        <f t="array" ref="F13">IF($D13="","",$D13*INDEX(Допущения!$C$25:$G$30,MATCH($C13,Допущения!$B$25:$B$30,0),2))</f>
        <v>10368</v>
      </c>
      <c r="G13" s="22">
        <f t="array" ref="G13">IF($D13="","",$D13*INDEX(Допущения!$C$25:$G$30,MATCH($C13,Допущения!$B$25:$B$30,0),3))</f>
        <v>11197.44</v>
      </c>
      <c r="H13" s="22">
        <f t="array" ref="H13">IF($D13="","",$D13*INDEX(Допущения!$C$25:$G$30,MATCH($C13,Допущения!$B$25:$B$30,0),4))</f>
        <v>12093.235200000001</v>
      </c>
      <c r="I13" s="22">
        <f t="array" ref="I13">IF($D13="","",$D13*INDEX(Допущения!$C$25:$G$30,MATCH($C13,Допущения!$B$25:$B$30,0),5))</f>
        <v>13060.694016000003</v>
      </c>
      <c r="J13" s="22">
        <f t="shared" si="0"/>
        <v>56319.369216000006</v>
      </c>
      <c r="K13" s="23"/>
      <c r="L13" s="24" t="s">
        <v>218</v>
      </c>
    </row>
    <row r="14" spans="2:12" x14ac:dyDescent="0.2">
      <c r="B14" s="10" t="s">
        <v>112</v>
      </c>
      <c r="C14" s="16" t="s">
        <v>84</v>
      </c>
      <c r="D14" s="17">
        <v>2400</v>
      </c>
      <c r="E14" s="22">
        <v>0</v>
      </c>
      <c r="F14" s="22">
        <f t="array" ref="F14">IF($D14="","",$D14*INDEX(Допущения!$C$25:$G$30,MATCH($C14,Допущения!$B$25:$B$30,0),2))</f>
        <v>7200</v>
      </c>
      <c r="G14" s="22">
        <f t="array" ref="G14">IF($D14="","",$D14*INDEX(Допущения!$C$25:$G$30,MATCH($C14,Допущения!$B$25:$B$30,0),3))</f>
        <v>18000</v>
      </c>
      <c r="H14" s="22">
        <f t="array" ref="H14">IF($D14="","",$D14*INDEX(Допущения!$C$25:$G$30,MATCH($C14,Допущения!$B$25:$B$30,0),4))</f>
        <v>36000</v>
      </c>
      <c r="I14" s="22">
        <f t="array" ref="I14">IF($D14="","",$D14*INDEX(Допущения!$C$25:$G$30,MATCH($C14,Допущения!$B$25:$B$30,0),5))</f>
        <v>60000</v>
      </c>
      <c r="J14" s="22">
        <f t="shared" si="0"/>
        <v>121200</v>
      </c>
      <c r="K14" s="23"/>
      <c r="L14" s="24" t="s">
        <v>219</v>
      </c>
    </row>
    <row r="15" spans="2:12" x14ac:dyDescent="0.2">
      <c r="B15" s="25" t="s">
        <v>114</v>
      </c>
      <c r="C15" s="26"/>
      <c r="D15" s="26"/>
      <c r="E15" s="27">
        <f t="shared" ref="E15:J15" si="1">SUM(E7:E14)</f>
        <v>46800</v>
      </c>
      <c r="F15" s="27">
        <f t="shared" si="1"/>
        <v>129168</v>
      </c>
      <c r="G15" s="27">
        <f t="shared" si="1"/>
        <v>308197.44</v>
      </c>
      <c r="H15" s="27">
        <f t="shared" si="1"/>
        <v>606093.2352</v>
      </c>
      <c r="I15" s="27">
        <f t="shared" si="1"/>
        <v>1003060.694016</v>
      </c>
      <c r="J15" s="27">
        <f t="shared" si="1"/>
        <v>2093319.369216</v>
      </c>
      <c r="K15" s="28">
        <f>IFERROR(J15/$J$51,0)</f>
        <v>4.5002464308576393E-2</v>
      </c>
      <c r="L15" s="26"/>
    </row>
    <row r="16" spans="2:12" x14ac:dyDescent="0.2">
      <c r="C16" s="29"/>
    </row>
    <row r="17" spans="2:12" x14ac:dyDescent="0.2">
      <c r="B17" s="7" t="s">
        <v>115</v>
      </c>
      <c r="C17" s="8"/>
      <c r="D17" s="8"/>
      <c r="E17" s="8"/>
      <c r="F17" s="8"/>
      <c r="G17" s="8"/>
      <c r="H17" s="8"/>
      <c r="I17" s="8"/>
      <c r="J17" s="8"/>
      <c r="K17" s="8"/>
      <c r="L17" s="8"/>
    </row>
    <row r="18" spans="2:12" x14ac:dyDescent="0.2">
      <c r="B18" s="10" t="s">
        <v>116</v>
      </c>
      <c r="C18" s="16" t="s">
        <v>84</v>
      </c>
      <c r="D18" s="17">
        <v>6000</v>
      </c>
      <c r="E18" s="22">
        <f t="array" ref="E18">IF($D18="","",$D18*INDEX(Допущения!$C$25:$G$30,MATCH($C18,Допущения!$B$25:$B$30,0),1))</f>
        <v>6000</v>
      </c>
      <c r="F18" s="22">
        <f t="array" ref="F18">IF($D18="","",$D18*INDEX(Допущения!$C$25:$G$30,MATCH($C18,Допущения!$B$25:$B$30,0),2))</f>
        <v>18000</v>
      </c>
      <c r="G18" s="22">
        <f t="array" ref="G18">IF($D18="","",$D18*INDEX(Допущения!$C$25:$G$30,MATCH($C18,Допущения!$B$25:$B$30,0),3))</f>
        <v>45000</v>
      </c>
      <c r="H18" s="22">
        <f t="array" ref="H18">IF($D18="","",$D18*INDEX(Допущения!$C$25:$G$30,MATCH($C18,Допущения!$B$25:$B$30,0),4))</f>
        <v>90000</v>
      </c>
      <c r="I18" s="22">
        <f t="array" ref="I18">IF($D18="","",$D18*INDEX(Допущения!$C$25:$G$30,MATCH($C18,Допущения!$B$25:$B$30,0),5))</f>
        <v>150000</v>
      </c>
      <c r="J18" s="22">
        <f t="shared" ref="J18:J23" si="2">SUM(E18:I18)</f>
        <v>309000</v>
      </c>
      <c r="K18" s="23"/>
      <c r="L18" s="24" t="s">
        <v>220</v>
      </c>
    </row>
    <row r="19" spans="2:12" x14ac:dyDescent="0.2">
      <c r="B19" s="10" t="s">
        <v>118</v>
      </c>
      <c r="C19" s="16" t="s">
        <v>80</v>
      </c>
      <c r="D19" s="17">
        <v>3000</v>
      </c>
      <c r="E19" s="22">
        <f t="array" ref="E19">IF($D19="","",$D19*INDEX(Допущения!$C$25:$G$30,MATCH($C19,Допущения!$B$25:$B$30,0),1))</f>
        <v>3000</v>
      </c>
      <c r="F19" s="22">
        <f t="array" ref="F19">IF($D19="","",$D19*INDEX(Допущения!$C$25:$G$30,MATCH($C19,Допущения!$B$25:$B$30,0),2))</f>
        <v>3240</v>
      </c>
      <c r="G19" s="22">
        <f t="array" ref="G19">IF($D19="","",$D19*INDEX(Допущения!$C$25:$G$30,MATCH($C19,Допущения!$B$25:$B$30,0),3))</f>
        <v>3499.2000000000003</v>
      </c>
      <c r="H19" s="22">
        <f t="array" ref="H19">IF($D19="","",$D19*INDEX(Допущения!$C$25:$G$30,MATCH($C19,Допущения!$B$25:$B$30,0),4))</f>
        <v>3779.1360000000004</v>
      </c>
      <c r="I19" s="22">
        <f t="array" ref="I19">IF($D19="","",$D19*INDEX(Допущения!$C$25:$G$30,MATCH($C19,Допущения!$B$25:$B$30,0),5))</f>
        <v>4081.4668800000009</v>
      </c>
      <c r="J19" s="22">
        <f t="shared" si="2"/>
        <v>17599.802880000003</v>
      </c>
      <c r="K19" s="23"/>
      <c r="L19" s="24" t="s">
        <v>221</v>
      </c>
    </row>
    <row r="20" spans="2:12" x14ac:dyDescent="0.2">
      <c r="B20" s="10" t="s">
        <v>120</v>
      </c>
      <c r="C20" s="16" t="s">
        <v>84</v>
      </c>
      <c r="D20" s="17">
        <v>4800</v>
      </c>
      <c r="E20" s="22">
        <f t="array" ref="E20">IF($D20="","",$D20*INDEX(Допущения!$C$25:$G$30,MATCH($C20,Допущения!$B$25:$B$30,0),1))</f>
        <v>4800</v>
      </c>
      <c r="F20" s="22">
        <f t="array" ref="F20">IF($D20="","",$D20*INDEX(Допущения!$C$25:$G$30,MATCH($C20,Допущения!$B$25:$B$30,0),2))</f>
        <v>14400</v>
      </c>
      <c r="G20" s="22">
        <f t="array" ref="G20">IF($D20="","",$D20*INDEX(Допущения!$C$25:$G$30,MATCH($C20,Допущения!$B$25:$B$30,0),3))</f>
        <v>36000</v>
      </c>
      <c r="H20" s="22">
        <f t="array" ref="H20">IF($D20="","",$D20*INDEX(Допущения!$C$25:$G$30,MATCH($C20,Допущения!$B$25:$B$30,0),4))</f>
        <v>72000</v>
      </c>
      <c r="I20" s="22">
        <f t="array" ref="I20">IF($D20="","",$D20*INDEX(Допущения!$C$25:$G$30,MATCH($C20,Допущения!$B$25:$B$30,0),5))</f>
        <v>120000</v>
      </c>
      <c r="J20" s="22">
        <f t="shared" si="2"/>
        <v>247200</v>
      </c>
      <c r="K20" s="23"/>
      <c r="L20" s="24" t="s">
        <v>222</v>
      </c>
    </row>
    <row r="21" spans="2:12" ht="15.75" customHeight="1" x14ac:dyDescent="0.2">
      <c r="B21" s="10" t="s">
        <v>122</v>
      </c>
      <c r="C21" s="16" t="s">
        <v>80</v>
      </c>
      <c r="D21" s="17">
        <v>3000</v>
      </c>
      <c r="E21" s="22">
        <f t="array" ref="E21">IF($D21="","",$D21*INDEX(Допущения!$C$25:$G$30,MATCH($C21,Допущения!$B$25:$B$30,0),1))</f>
        <v>3000</v>
      </c>
      <c r="F21" s="22">
        <f t="array" ref="F21">IF($D21="","",$D21*INDEX(Допущения!$C$25:$G$30,MATCH($C21,Допущения!$B$25:$B$30,0),2))</f>
        <v>3240</v>
      </c>
      <c r="G21" s="22">
        <f t="array" ref="G21">IF($D21="","",$D21*INDEX(Допущения!$C$25:$G$30,MATCH($C21,Допущения!$B$25:$B$30,0),3))</f>
        <v>3499.2000000000003</v>
      </c>
      <c r="H21" s="22">
        <f t="array" ref="H21">IF($D21="","",$D21*INDEX(Допущения!$C$25:$G$30,MATCH($C21,Допущения!$B$25:$B$30,0),4))</f>
        <v>3779.1360000000004</v>
      </c>
      <c r="I21" s="22">
        <f t="array" ref="I21">IF($D21="","",$D21*INDEX(Допущения!$C$25:$G$30,MATCH($C21,Допущения!$B$25:$B$30,0),5))</f>
        <v>4081.4668800000009</v>
      </c>
      <c r="J21" s="22">
        <f t="shared" si="2"/>
        <v>17599.802880000003</v>
      </c>
      <c r="K21" s="23"/>
      <c r="L21" s="24" t="s">
        <v>223</v>
      </c>
    </row>
    <row r="22" spans="2:12" ht="15.75" customHeight="1" x14ac:dyDescent="0.2">
      <c r="B22" s="10" t="s">
        <v>124</v>
      </c>
      <c r="C22" s="16" t="s">
        <v>80</v>
      </c>
      <c r="D22" s="17">
        <v>2400</v>
      </c>
      <c r="E22" s="22">
        <f t="array" ref="E22">IF($D22="","",$D22*INDEX(Допущения!$C$25:$G$30,MATCH($C22,Допущения!$B$25:$B$30,0),1))</f>
        <v>2400</v>
      </c>
      <c r="F22" s="22">
        <f t="array" ref="F22">IF($D22="","",$D22*INDEX(Допущения!$C$25:$G$30,MATCH($C22,Допущения!$B$25:$B$30,0),2))</f>
        <v>2592</v>
      </c>
      <c r="G22" s="22">
        <f t="array" ref="G22">IF($D22="","",$D22*INDEX(Допущения!$C$25:$G$30,MATCH($C22,Допущения!$B$25:$B$30,0),3))</f>
        <v>2799.36</v>
      </c>
      <c r="H22" s="22">
        <f t="array" ref="H22">IF($D22="","",$D22*INDEX(Допущения!$C$25:$G$30,MATCH($C22,Допущения!$B$25:$B$30,0),4))</f>
        <v>3023.3088000000002</v>
      </c>
      <c r="I22" s="22">
        <f t="array" ref="I22">IF($D22="","",$D22*INDEX(Допущения!$C$25:$G$30,MATCH($C22,Допущения!$B$25:$B$30,0),5))</f>
        <v>3265.1735040000008</v>
      </c>
      <c r="J22" s="22">
        <f t="shared" si="2"/>
        <v>14079.842304000002</v>
      </c>
      <c r="K22" s="23"/>
      <c r="L22" s="24" t="s">
        <v>201</v>
      </c>
    </row>
    <row r="23" spans="2:12" ht="15.75" customHeight="1" x14ac:dyDescent="0.2">
      <c r="B23" s="10"/>
      <c r="C23" s="16" t="s">
        <v>78</v>
      </c>
      <c r="D23" s="17"/>
      <c r="E23" s="22" t="str">
        <f t="array" ref="E23">IF($D23="","",$D23*INDEX(Допущения!$C$25:$G$30,MATCH($C23,Допущения!$B$25:$B$30,0),1))</f>
        <v/>
      </c>
      <c r="F23" s="22" t="str">
        <f t="array" ref="F23">IF($D23="","",$D23*INDEX(Допущения!$C$25:$G$30,MATCH($C23,Допущения!$B$25:$B$30,0),2))</f>
        <v/>
      </c>
      <c r="G23" s="22" t="str">
        <f t="array" ref="G23">IF($D23="","",$D23*INDEX(Допущения!$C$25:$G$30,MATCH($C23,Допущения!$B$25:$B$30,0),3))</f>
        <v/>
      </c>
      <c r="H23" s="22" t="str">
        <f t="array" ref="H23">IF($D23="","",$D23*INDEX(Допущения!$C$25:$G$30,MATCH($C23,Допущения!$B$25:$B$30,0),4))</f>
        <v/>
      </c>
      <c r="I23" s="22" t="str">
        <f t="array" ref="I23">IF($D23="","",$D23*INDEX(Допущения!$C$25:$G$30,MATCH($C23,Допущения!$B$25:$B$30,0),5))</f>
        <v/>
      </c>
      <c r="J23" s="22">
        <f t="shared" si="2"/>
        <v>0</v>
      </c>
      <c r="K23" s="23"/>
      <c r="L23" s="24" t="s">
        <v>126</v>
      </c>
    </row>
    <row r="24" spans="2:12" ht="15.75" customHeight="1" x14ac:dyDescent="0.2">
      <c r="B24" s="25" t="s">
        <v>114</v>
      </c>
      <c r="C24" s="26"/>
      <c r="D24" s="26"/>
      <c r="E24" s="27">
        <f t="shared" ref="E24:J24" si="3">SUM(E18:E23)</f>
        <v>19200</v>
      </c>
      <c r="F24" s="27">
        <f t="shared" si="3"/>
        <v>41472</v>
      </c>
      <c r="G24" s="27">
        <f t="shared" si="3"/>
        <v>90797.759999999995</v>
      </c>
      <c r="H24" s="27">
        <f t="shared" si="3"/>
        <v>172581.5808</v>
      </c>
      <c r="I24" s="27">
        <f t="shared" si="3"/>
        <v>281428.10726399999</v>
      </c>
      <c r="J24" s="27">
        <f t="shared" si="3"/>
        <v>605479.448064</v>
      </c>
      <c r="K24" s="28">
        <f>IFERROR(J24/$J$51,0)</f>
        <v>1.3016679466966271E-2</v>
      </c>
      <c r="L24" s="26"/>
    </row>
    <row r="25" spans="2:12" ht="15.75" customHeight="1" x14ac:dyDescent="0.2">
      <c r="C25" s="29"/>
    </row>
    <row r="26" spans="2:12" ht="15.75" customHeight="1" x14ac:dyDescent="0.2">
      <c r="B26" s="7" t="s">
        <v>127</v>
      </c>
      <c r="C26" s="8"/>
      <c r="D26" s="8"/>
      <c r="E26" s="8"/>
      <c r="F26" s="8"/>
      <c r="G26" s="8"/>
      <c r="H26" s="8"/>
      <c r="I26" s="8"/>
      <c r="J26" s="8"/>
      <c r="K26" s="8"/>
      <c r="L26" s="8"/>
    </row>
    <row r="27" spans="2:12" ht="15.75" customHeight="1" x14ac:dyDescent="0.2">
      <c r="B27" s="10" t="s">
        <v>128</v>
      </c>
      <c r="C27" s="16" t="s">
        <v>88</v>
      </c>
      <c r="D27" s="17">
        <v>100800</v>
      </c>
      <c r="E27" s="22">
        <f t="array" ref="E27">IF($D27="","",$D27*INDEX(Допущения!$C$25:$G$30,MATCH($C27,Допущения!$B$25:$B$30,0),1))</f>
        <v>100800</v>
      </c>
      <c r="F27" s="22">
        <f t="array" ref="F27">IF($D27="","",$D27*INDEX(Допущения!$C$25:$G$30,MATCH($C27,Допущения!$B$25:$B$30,0),2))</f>
        <v>638400</v>
      </c>
      <c r="G27" s="22">
        <f t="array" ref="G27">IF($D27="","",$D27*INDEX(Допущения!$C$25:$G$30,MATCH($C27,Допущения!$B$25:$B$30,0),3))</f>
        <v>2240000</v>
      </c>
      <c r="H27" s="22">
        <f t="array" ref="H27">IF($D27="","",$D27*INDEX(Допущения!$C$25:$G$30,MATCH($C27,Допущения!$B$25:$B$30,0),4))</f>
        <v>4704000</v>
      </c>
      <c r="I27" s="22">
        <f t="array" ref="I27">IF($D27="","",$D27*INDEX(Допущения!$C$25:$G$30,MATCH($C27,Допущения!$B$25:$B$30,0),5))</f>
        <v>8624000</v>
      </c>
      <c r="J27" s="22">
        <f>SUM(E27:I27)</f>
        <v>16307200</v>
      </c>
      <c r="K27" s="23"/>
      <c r="L27" s="24" t="s">
        <v>202</v>
      </c>
    </row>
    <row r="28" spans="2:12" ht="15.75" customHeight="1" x14ac:dyDescent="0.2">
      <c r="B28" s="10" t="s">
        <v>129</v>
      </c>
      <c r="C28" s="16" t="s">
        <v>86</v>
      </c>
      <c r="D28" s="17">
        <v>16000</v>
      </c>
      <c r="E28" s="22">
        <f t="array" ref="E28">IF($D28="","",$D28*INDEX(Допущения!$C$25:$G$30,MATCH($C28,Допущения!$B$25:$B$30,0),1))</f>
        <v>16000</v>
      </c>
      <c r="F28" s="22">
        <f t="array" ref="F28">IF($D28="","",$D28*INDEX(Допущения!$C$25:$G$30,MATCH($C28,Допущения!$B$25:$B$30,0),2))</f>
        <v>96000</v>
      </c>
      <c r="G28" s="22">
        <f t="array" ref="G28">IF($D28="","",$D28*INDEX(Допущения!$C$25:$G$30,MATCH($C28,Допущения!$B$25:$B$30,0),3))</f>
        <v>320000</v>
      </c>
      <c r="H28" s="22">
        <f t="array" ref="H28">IF($D28="","",$D28*INDEX(Допущения!$C$25:$G$30,MATCH($C28,Допущения!$B$25:$B$30,0),4))</f>
        <v>640000</v>
      </c>
      <c r="I28" s="22">
        <f t="array" ref="I28">IF($D28="","",$D28*INDEX(Допущения!$C$25:$G$30,MATCH($C28,Допущения!$B$25:$B$30,0),5))</f>
        <v>1120000</v>
      </c>
      <c r="J28" s="22">
        <f>SUM(E28:I28)</f>
        <v>2192000</v>
      </c>
      <c r="K28" s="23"/>
      <c r="L28" s="24" t="s">
        <v>203</v>
      </c>
    </row>
    <row r="29" spans="2:12" ht="15.75" customHeight="1" x14ac:dyDescent="0.2">
      <c r="B29" s="10" t="s">
        <v>131</v>
      </c>
      <c r="C29" s="16" t="s">
        <v>86</v>
      </c>
      <c r="D29" s="17">
        <v>6000</v>
      </c>
      <c r="E29" s="22">
        <f t="array" ref="E29">IF($D29="","",$D29*INDEX(Допущения!$C$25:$G$30,MATCH($C29,Допущения!$B$25:$B$30,0),1))</f>
        <v>6000</v>
      </c>
      <c r="F29" s="22">
        <f t="array" ref="F29">IF($D29="","",$D29*INDEX(Допущения!$C$25:$G$30,MATCH($C29,Допущения!$B$25:$B$30,0),2))</f>
        <v>36000</v>
      </c>
      <c r="G29" s="22">
        <f t="array" ref="G29">IF($D29="","",$D29*INDEX(Допущения!$C$25:$G$30,MATCH($C29,Допущения!$B$25:$B$30,0),3))</f>
        <v>120000</v>
      </c>
      <c r="H29" s="22">
        <f t="array" ref="H29">IF($D29="","",$D29*INDEX(Допущения!$C$25:$G$30,MATCH($C29,Допущения!$B$25:$B$30,0),4))</f>
        <v>240000</v>
      </c>
      <c r="I29" s="22">
        <f t="array" ref="I29">IF($D29="","",$D29*INDEX(Допущения!$C$25:$G$30,MATCH($C29,Допущения!$B$25:$B$30,0),5))</f>
        <v>420000</v>
      </c>
      <c r="J29" s="22">
        <f>SUM(E29:I29)</f>
        <v>822000</v>
      </c>
      <c r="K29" s="23"/>
      <c r="L29" s="24" t="s">
        <v>203</v>
      </c>
    </row>
    <row r="30" spans="2:12" ht="15.75" customHeight="1" x14ac:dyDescent="0.2">
      <c r="B30" s="10" t="s">
        <v>133</v>
      </c>
      <c r="C30" s="16" t="s">
        <v>86</v>
      </c>
      <c r="D30" s="17">
        <v>100000</v>
      </c>
      <c r="E30" s="22">
        <f t="array" ref="E30">IF($D30="","",$D30*INDEX(Допущения!$C$25:$G$30,MATCH($C30,Допущения!$B$25:$B$30,0),1))</f>
        <v>100000</v>
      </c>
      <c r="F30" s="22">
        <f t="array" ref="F30">IF($D30="","",$D30*INDEX(Допущения!$C$25:$G$30,MATCH($C30,Допущения!$B$25:$B$30,0),2))</f>
        <v>600000</v>
      </c>
      <c r="G30" s="22">
        <f t="array" ref="G30">IF($D30="","",$D30*INDEX(Допущения!$C$25:$G$30,MATCH($C30,Допущения!$B$25:$B$30,0),3))</f>
        <v>2000000</v>
      </c>
      <c r="H30" s="22">
        <f t="array" ref="H30">IF($D30="","",$D30*INDEX(Допущения!$C$25:$G$30,MATCH($C30,Допущения!$B$25:$B$30,0),4))</f>
        <v>4000000</v>
      </c>
      <c r="I30" s="22">
        <f t="array" ref="I30">IF($D30="","",$D30*INDEX(Допущения!$C$25:$G$30,MATCH($C30,Допущения!$B$25:$B$30,0),5))</f>
        <v>7000000</v>
      </c>
      <c r="J30" s="22">
        <f>SUM(E30:I30)</f>
        <v>13700000</v>
      </c>
      <c r="K30" s="23"/>
      <c r="L30" s="24" t="s">
        <v>203</v>
      </c>
    </row>
    <row r="31" spans="2:12" ht="15.75" customHeight="1" x14ac:dyDescent="0.2">
      <c r="B31" s="10"/>
      <c r="C31" s="16" t="s">
        <v>78</v>
      </c>
      <c r="D31" s="17"/>
      <c r="E31" s="22" t="str">
        <f t="array" ref="E31">IF($D31="","",$D31*INDEX(Допущения!$C$25:$G$30,MATCH($C31,Допущения!$B$25:$B$30,0),1))</f>
        <v/>
      </c>
      <c r="F31" s="22" t="str">
        <f t="array" ref="F31">IF($D31="","",$D31*INDEX(Допущения!$C$25:$G$30,MATCH($C31,Допущения!$B$25:$B$30,0),2))</f>
        <v/>
      </c>
      <c r="G31" s="22" t="str">
        <f t="array" ref="G31">IF($D31="","",$D31*INDEX(Допущения!$C$25:$G$30,MATCH($C31,Допущения!$B$25:$B$30,0),3))</f>
        <v/>
      </c>
      <c r="H31" s="22" t="str">
        <f t="array" ref="H31">IF($D31="","",$D31*INDEX(Допущения!$C$25:$G$30,MATCH($C31,Допущения!$B$25:$B$30,0),4))</f>
        <v/>
      </c>
      <c r="I31" s="22" t="str">
        <f t="array" ref="I31">IF($D31="","",$D31*INDEX(Допущения!$C$25:$G$30,MATCH($C31,Допущения!$B$25:$B$30,0),5))</f>
        <v/>
      </c>
      <c r="J31" s="22">
        <f>SUM(E31:I31)</f>
        <v>0</v>
      </c>
      <c r="K31" s="23"/>
      <c r="L31" s="24" t="s">
        <v>126</v>
      </c>
    </row>
    <row r="32" spans="2:12" ht="15.75" customHeight="1" x14ac:dyDescent="0.2">
      <c r="B32" s="25" t="s">
        <v>114</v>
      </c>
      <c r="C32" s="26"/>
      <c r="D32" s="26"/>
      <c r="E32" s="27">
        <f t="shared" ref="E32:J32" si="4">SUM(E27:E31)</f>
        <v>222800</v>
      </c>
      <c r="F32" s="27">
        <f t="shared" si="4"/>
        <v>1370400</v>
      </c>
      <c r="G32" s="27">
        <f t="shared" si="4"/>
        <v>4680000</v>
      </c>
      <c r="H32" s="27">
        <f t="shared" si="4"/>
        <v>9584000</v>
      </c>
      <c r="I32" s="27">
        <f t="shared" si="4"/>
        <v>17164000</v>
      </c>
      <c r="J32" s="27">
        <f t="shared" si="4"/>
        <v>33021200</v>
      </c>
      <c r="K32" s="28">
        <f>IFERROR(J32/$J$51,0)</f>
        <v>0.70989424560807457</v>
      </c>
      <c r="L32" s="26"/>
    </row>
    <row r="33" spans="2:12" ht="15.75" customHeight="1" x14ac:dyDescent="0.2">
      <c r="C33" s="29"/>
    </row>
    <row r="34" spans="2:12" ht="15.75" customHeight="1" x14ac:dyDescent="0.2">
      <c r="B34" s="7" t="s">
        <v>135</v>
      </c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2:12" ht="15.75" customHeight="1" x14ac:dyDescent="0.2">
      <c r="B35" s="10" t="s">
        <v>136</v>
      </c>
      <c r="C35" s="16" t="s">
        <v>82</v>
      </c>
      <c r="D35" s="17">
        <v>455000</v>
      </c>
      <c r="E35" s="22">
        <f t="array" ref="E35">IF($D35="","",$D35*INDEX(Допущения!$C$25:$G$30,MATCH($C35,Допущения!$B$25:$B$30,0),1))</f>
        <v>455000</v>
      </c>
      <c r="F35" s="22">
        <f t="array" ref="F35">IF($D35="","",$D35*INDEX(Допущения!$C$25:$G$30,MATCH($C35,Допущения!$B$25:$B$30,0),2))</f>
        <v>509600.00000000006</v>
      </c>
      <c r="G35" s="22">
        <f t="array" ref="G35">IF($D35="","",$D35*INDEX(Допущения!$C$25:$G$30,MATCH($C35,Допущения!$B$25:$B$30,0),3))</f>
        <v>570752.00000000012</v>
      </c>
      <c r="H35" s="22">
        <f t="array" ref="H35">IF($D35="","",$D35*INDEX(Допущения!$C$25:$G$30,MATCH($C35,Допущения!$B$25:$B$30,0),4))</f>
        <v>639242.24000000022</v>
      </c>
      <c r="I35" s="22">
        <f t="array" ref="I35">IF($D35="","",$D35*INDEX(Допущения!$C$25:$G$30,MATCH($C35,Допущения!$B$25:$B$30,0),5))</f>
        <v>715951.30880000023</v>
      </c>
      <c r="J35" s="22">
        <f>SUM(E35:I35)</f>
        <v>2890545.5488000005</v>
      </c>
      <c r="K35" s="23"/>
      <c r="L35" s="24" t="s">
        <v>224</v>
      </c>
    </row>
    <row r="36" spans="2:12" ht="15.75" customHeight="1" x14ac:dyDescent="0.2">
      <c r="B36" s="10" t="s">
        <v>138</v>
      </c>
      <c r="C36" s="16" t="s">
        <v>82</v>
      </c>
      <c r="D36" s="17">
        <v>80000</v>
      </c>
      <c r="E36" s="22">
        <f t="array" ref="E36">IF($D36="","",$D36*INDEX(Допущения!$C$25:$G$30,MATCH($C36,Допущения!$B$25:$B$30,0),1))</f>
        <v>80000</v>
      </c>
      <c r="F36" s="22">
        <f t="array" ref="F36">IF($D36="","",$D36*INDEX(Допущения!$C$25:$G$30,MATCH($C36,Допущения!$B$25:$B$30,0),2))</f>
        <v>89600.000000000015</v>
      </c>
      <c r="G36" s="22">
        <f t="array" ref="G36">IF($D36="","",$D36*INDEX(Допущения!$C$25:$G$30,MATCH($C36,Допущения!$B$25:$B$30,0),3))</f>
        <v>100352.00000000001</v>
      </c>
      <c r="H36" s="22">
        <f t="array" ref="H36">IF($D36="","",$D36*INDEX(Допущения!$C$25:$G$30,MATCH($C36,Допущения!$B$25:$B$30,0),4))</f>
        <v>112394.24000000003</v>
      </c>
      <c r="I36" s="22">
        <f t="array" ref="I36">IF($D36="","",$D36*INDEX(Допущения!$C$25:$G$30,MATCH($C36,Допущения!$B$25:$B$30,0),5))</f>
        <v>125881.54880000005</v>
      </c>
      <c r="J36" s="22">
        <f>SUM(E36:I36)</f>
        <v>508227.7888000001</v>
      </c>
      <c r="K36" s="23"/>
      <c r="L36" s="24" t="s">
        <v>225</v>
      </c>
    </row>
    <row r="37" spans="2:12" ht="15.75" customHeight="1" x14ac:dyDescent="0.2">
      <c r="B37" s="10" t="s">
        <v>140</v>
      </c>
      <c r="C37" s="16" t="s">
        <v>82</v>
      </c>
      <c r="D37" s="17">
        <v>36000</v>
      </c>
      <c r="E37" s="22">
        <f t="array" ref="E37">IF($D37="","",$D37*INDEX(Допущения!$C$25:$G$30,MATCH($C37,Допущения!$B$25:$B$30,0),1))</f>
        <v>36000</v>
      </c>
      <c r="F37" s="22">
        <f t="array" ref="F37">IF($D37="","",$D37*INDEX(Допущения!$C$25:$G$30,MATCH($C37,Допущения!$B$25:$B$30,0),2))</f>
        <v>40320.000000000007</v>
      </c>
      <c r="G37" s="22">
        <f t="array" ref="G37">IF($D37="","",$D37*INDEX(Допущения!$C$25:$G$30,MATCH($C37,Допущения!$B$25:$B$30,0),3))</f>
        <v>45158.400000000009</v>
      </c>
      <c r="H37" s="22">
        <f t="array" ref="H37">IF($D37="","",$D37*INDEX(Допущения!$C$25:$G$30,MATCH($C37,Допущения!$B$25:$B$30,0),4))</f>
        <v>50577.408000000018</v>
      </c>
      <c r="I37" s="22">
        <f t="array" ref="I37">IF($D37="","",$D37*INDEX(Допущения!$C$25:$G$30,MATCH($C37,Допущения!$B$25:$B$30,0),5))</f>
        <v>56646.696960000023</v>
      </c>
      <c r="J37" s="22">
        <f>SUM(E37:I37)</f>
        <v>228702.50496000005</v>
      </c>
      <c r="K37" s="23"/>
      <c r="L37" s="24" t="s">
        <v>226</v>
      </c>
    </row>
    <row r="38" spans="2:12" ht="15.75" customHeight="1" x14ac:dyDescent="0.2">
      <c r="B38" s="10" t="s">
        <v>142</v>
      </c>
      <c r="C38" s="16" t="s">
        <v>82</v>
      </c>
      <c r="D38" s="17">
        <v>135000</v>
      </c>
      <c r="E38" s="22">
        <f t="array" ref="E38">IF($D38="","",$D38*INDEX(Допущения!$C$25:$G$30,MATCH($C38,Допущения!$B$25:$B$30,0),1))</f>
        <v>135000</v>
      </c>
      <c r="F38" s="22">
        <f t="array" ref="F38">IF($D38="","",$D38*INDEX(Допущения!$C$25:$G$30,MATCH($C38,Допущения!$B$25:$B$30,0),2))</f>
        <v>151200</v>
      </c>
      <c r="G38" s="22">
        <f t="array" ref="G38">IF($D38="","",$D38*INDEX(Допущения!$C$25:$G$30,MATCH($C38,Допущения!$B$25:$B$30,0),3))</f>
        <v>169344.00000000003</v>
      </c>
      <c r="H38" s="22">
        <f t="array" ref="H38">IF($D38="","",$D38*INDEX(Допущения!$C$25:$G$30,MATCH($C38,Допущения!$B$25:$B$30,0),4))</f>
        <v>189665.28000000006</v>
      </c>
      <c r="I38" s="22">
        <f t="array" ref="I38">IF($D38="","",$D38*INDEX(Допущения!$C$25:$G$30,MATCH($C38,Допущения!$B$25:$B$30,0),5))</f>
        <v>212425.11360000007</v>
      </c>
      <c r="J38" s="22">
        <f>SUM(E38:I38)</f>
        <v>857634.39360000007</v>
      </c>
      <c r="K38" s="23"/>
      <c r="L38" s="24" t="s">
        <v>227</v>
      </c>
    </row>
    <row r="39" spans="2:12" ht="15.75" customHeight="1" x14ac:dyDescent="0.2">
      <c r="B39" s="10"/>
      <c r="C39" s="16" t="s">
        <v>78</v>
      </c>
      <c r="D39" s="17"/>
      <c r="E39" s="22" t="str">
        <f t="array" ref="E39">IF($D39="","",$D39*INDEX(Допущения!$C$25:$G$30,MATCH($C39,Допущения!$B$25:$B$30,0),1))</f>
        <v/>
      </c>
      <c r="F39" s="22" t="str">
        <f t="array" ref="F39">IF($D39="","",$D39*INDEX(Допущения!$C$25:$G$30,MATCH($C39,Допущения!$B$25:$B$30,0),2))</f>
        <v/>
      </c>
      <c r="G39" s="22" t="str">
        <f t="array" ref="G39">IF($D39="","",$D39*INDEX(Допущения!$C$25:$G$30,MATCH($C39,Допущения!$B$25:$B$30,0),3))</f>
        <v/>
      </c>
      <c r="H39" s="22" t="str">
        <f t="array" ref="H39">IF($D39="","",$D39*INDEX(Допущения!$C$25:$G$30,MATCH($C39,Допущения!$B$25:$B$30,0),4))</f>
        <v/>
      </c>
      <c r="I39" s="22" t="str">
        <f t="array" ref="I39">IF($D39="","",$D39*INDEX(Допущения!$C$25:$G$30,MATCH($C39,Допущения!$B$25:$B$30,0),5))</f>
        <v/>
      </c>
      <c r="J39" s="22">
        <f>SUM(E39:I39)</f>
        <v>0</v>
      </c>
      <c r="K39" s="23"/>
      <c r="L39" s="24" t="s">
        <v>126</v>
      </c>
    </row>
    <row r="40" spans="2:12" ht="15.75" customHeight="1" x14ac:dyDescent="0.2">
      <c r="B40" s="25" t="s">
        <v>114</v>
      </c>
      <c r="C40" s="26"/>
      <c r="D40" s="26"/>
      <c r="E40" s="27">
        <f t="shared" ref="E40:J40" si="5">SUM(E35:E39)</f>
        <v>706000</v>
      </c>
      <c r="F40" s="27">
        <f t="shared" si="5"/>
        <v>790720.00000000012</v>
      </c>
      <c r="G40" s="27">
        <f t="shared" si="5"/>
        <v>885606.40000000014</v>
      </c>
      <c r="H40" s="27">
        <f t="shared" si="5"/>
        <v>991879.1680000003</v>
      </c>
      <c r="I40" s="27">
        <f t="shared" si="5"/>
        <v>1110904.6681600004</v>
      </c>
      <c r="J40" s="27">
        <f t="shared" si="5"/>
        <v>4485110.2361600008</v>
      </c>
      <c r="K40" s="28">
        <f>IFERROR(J40/$J$51,0)</f>
        <v>9.6421509441445397E-2</v>
      </c>
      <c r="L40" s="26"/>
    </row>
    <row r="41" spans="2:12" ht="15.75" customHeight="1" x14ac:dyDescent="0.2">
      <c r="C41" s="29"/>
    </row>
    <row r="42" spans="2:12" ht="15.75" customHeight="1" x14ac:dyDescent="0.2">
      <c r="B42" s="7" t="s">
        <v>144</v>
      </c>
      <c r="C42" s="8"/>
      <c r="D42" s="8"/>
      <c r="E42" s="8"/>
      <c r="F42" s="8"/>
      <c r="G42" s="8"/>
      <c r="H42" s="8"/>
      <c r="I42" s="8"/>
      <c r="J42" s="8"/>
      <c r="K42" s="8"/>
      <c r="L42" s="8"/>
    </row>
    <row r="43" spans="2:12" ht="15.75" customHeight="1" x14ac:dyDescent="0.2">
      <c r="B43" s="10" t="s">
        <v>145</v>
      </c>
      <c r="C43" s="16" t="s">
        <v>78</v>
      </c>
      <c r="D43" s="17">
        <v>25000</v>
      </c>
      <c r="E43" s="22">
        <f t="array" ref="E43">IF($D43="","",$D43*INDEX(Допущения!$C$25:$G$30,MATCH($C43,Допущения!$B$25:$B$30,0),1))</f>
        <v>25000</v>
      </c>
      <c r="F43" s="22">
        <v>0</v>
      </c>
      <c r="G43" s="22">
        <v>0</v>
      </c>
      <c r="H43" s="22">
        <v>0</v>
      </c>
      <c r="I43" s="22">
        <v>0</v>
      </c>
      <c r="J43" s="22">
        <f>SUM(E43:I43)</f>
        <v>25000</v>
      </c>
      <c r="K43" s="23"/>
      <c r="L43" s="24" t="s">
        <v>208</v>
      </c>
    </row>
    <row r="44" spans="2:12" ht="15.75" customHeight="1" x14ac:dyDescent="0.2">
      <c r="B44" s="10" t="s">
        <v>147</v>
      </c>
      <c r="C44" s="16" t="s">
        <v>80</v>
      </c>
      <c r="D44" s="17">
        <v>15000</v>
      </c>
      <c r="E44" s="22">
        <f t="array" ref="E44">IF($D44="","",$D44*INDEX(Допущения!$C$25:$G$30,MATCH($C44,Допущения!$B$25:$B$30,0),1))</f>
        <v>15000</v>
      </c>
      <c r="F44" s="22">
        <f t="array" ref="F44">IF($D44="","",$D44*INDEX(Допущения!$C$25:$G$30,MATCH($C44,Допущения!$B$25:$B$30,0),2))</f>
        <v>16200.000000000002</v>
      </c>
      <c r="G44" s="22">
        <f t="array" ref="G44">IF($D44="","",$D44*INDEX(Допущения!$C$25:$G$30,MATCH($C44,Допущения!$B$25:$B$30,0),3))</f>
        <v>17496</v>
      </c>
      <c r="H44" s="22">
        <f t="array" ref="H44">IF($D44="","",$D44*INDEX(Допущения!$C$25:$G$30,MATCH($C44,Допущения!$B$25:$B$30,0),4))</f>
        <v>18895.680000000004</v>
      </c>
      <c r="I44" s="22">
        <f t="array" ref="I44">IF($D44="","",$D44*INDEX(Допущения!$C$25:$G$30,MATCH($C44,Допущения!$B$25:$B$30,0),5))</f>
        <v>20407.334400000003</v>
      </c>
      <c r="J44" s="22">
        <f>SUM(E44:I44)</f>
        <v>87999.014400000015</v>
      </c>
      <c r="K44" s="23"/>
      <c r="L44" s="24" t="s">
        <v>148</v>
      </c>
    </row>
    <row r="45" spans="2:12" ht="15.75" customHeight="1" x14ac:dyDescent="0.2">
      <c r="B45" s="10" t="s">
        <v>149</v>
      </c>
      <c r="C45" s="16" t="s">
        <v>78</v>
      </c>
      <c r="D45" s="17">
        <v>35000</v>
      </c>
      <c r="E45" s="22">
        <f t="array" ref="E45">IF($D45="","",$D45*INDEX(Допущения!$C$25:$G$30,MATCH($C45,Допущения!$B$25:$B$30,0),1))</f>
        <v>35000</v>
      </c>
      <c r="F45" s="22">
        <v>0</v>
      </c>
      <c r="G45" s="22">
        <v>0</v>
      </c>
      <c r="H45" s="22">
        <v>0</v>
      </c>
      <c r="I45" s="22">
        <v>0</v>
      </c>
      <c r="J45" s="22">
        <f>SUM(E45:I45)</f>
        <v>35000</v>
      </c>
      <c r="K45" s="23"/>
      <c r="L45" s="24" t="s">
        <v>228</v>
      </c>
    </row>
    <row r="46" spans="2:12" ht="15.75" customHeight="1" x14ac:dyDescent="0.2">
      <c r="B46" s="10" t="s">
        <v>151</v>
      </c>
      <c r="C46" s="16" t="s">
        <v>82</v>
      </c>
      <c r="D46" s="17">
        <v>15000</v>
      </c>
      <c r="E46" s="22">
        <f t="array" ref="E46">IF($D46="","",$D46*INDEX(Допущения!$C$25:$G$30,MATCH($C46,Допущения!$B$25:$B$30,0),1))</f>
        <v>15000</v>
      </c>
      <c r="F46" s="22">
        <f t="array" ref="F46">IF($D46="","",$D46*INDEX(Допущения!$C$25:$G$30,MATCH($C46,Допущения!$B$25:$B$30,0),2))</f>
        <v>16800</v>
      </c>
      <c r="G46" s="22">
        <f t="array" ref="G46">IF($D46="","",$D46*INDEX(Допущения!$C$25:$G$30,MATCH($C46,Допущения!$B$25:$B$30,0),3))</f>
        <v>18816.000000000004</v>
      </c>
      <c r="H46" s="22">
        <f t="array" ref="H46">IF($D46="","",$D46*INDEX(Допущения!$C$25:$G$30,MATCH($C46,Допущения!$B$25:$B$30,0),4))</f>
        <v>21073.920000000006</v>
      </c>
      <c r="I46" s="22">
        <f t="array" ref="I46">IF($D46="","",$D46*INDEX(Допущения!$C$25:$G$30,MATCH($C46,Допущения!$B$25:$B$30,0),5))</f>
        <v>23602.790400000009</v>
      </c>
      <c r="J46" s="22">
        <f>SUM(E46:I46)</f>
        <v>95292.710400000025</v>
      </c>
      <c r="K46" s="23"/>
      <c r="L46" s="24" t="s">
        <v>229</v>
      </c>
    </row>
    <row r="47" spans="2:12" ht="15.75" customHeight="1" x14ac:dyDescent="0.2">
      <c r="B47" s="10"/>
      <c r="C47" s="16" t="s">
        <v>78</v>
      </c>
      <c r="D47" s="17"/>
      <c r="E47" s="22" t="str">
        <f t="array" ref="E47">IF($D47="","",$D47*INDEX(Допущения!$C$25:$G$30,MATCH($C47,Допущения!$B$25:$B$30,0),1))</f>
        <v/>
      </c>
      <c r="F47" s="22" t="str">
        <f t="array" ref="F47">IF($D47="","",$D47*INDEX(Допущения!$C$25:$G$30,MATCH($C47,Допущения!$B$25:$B$30,0),2))</f>
        <v/>
      </c>
      <c r="G47" s="22" t="str">
        <f t="array" ref="G47">IF($D47="","",$D47*INDEX(Допущения!$C$25:$G$30,MATCH($C47,Допущения!$B$25:$B$30,0),3))</f>
        <v/>
      </c>
      <c r="H47" s="22" t="str">
        <f t="array" ref="H47">IF($D47="","",$D47*INDEX(Допущения!$C$25:$G$30,MATCH($C47,Допущения!$B$25:$B$30,0),4))</f>
        <v/>
      </c>
      <c r="I47" s="22" t="str">
        <f t="array" ref="I47">IF($D47="","",$D47*INDEX(Допущения!$C$25:$G$30,MATCH($C47,Допущения!$B$25:$B$30,0),5))</f>
        <v/>
      </c>
      <c r="J47" s="22">
        <f>SUM(E47:I47)</f>
        <v>0</v>
      </c>
      <c r="K47" s="23"/>
      <c r="L47" s="24" t="s">
        <v>126</v>
      </c>
    </row>
    <row r="48" spans="2:12" ht="15.75" customHeight="1" x14ac:dyDescent="0.2">
      <c r="B48" s="25" t="s">
        <v>114</v>
      </c>
      <c r="C48" s="26"/>
      <c r="D48" s="26"/>
      <c r="E48" s="27">
        <f t="shared" ref="E48:J48" si="6">SUM(E43:E47)</f>
        <v>90000</v>
      </c>
      <c r="F48" s="27">
        <f t="shared" si="6"/>
        <v>33000</v>
      </c>
      <c r="G48" s="27">
        <f t="shared" si="6"/>
        <v>36312</v>
      </c>
      <c r="H48" s="27">
        <f t="shared" si="6"/>
        <v>39969.600000000006</v>
      </c>
      <c r="I48" s="27">
        <f t="shared" si="6"/>
        <v>44010.124800000012</v>
      </c>
      <c r="J48" s="27">
        <f t="shared" si="6"/>
        <v>243291.72480000003</v>
      </c>
      <c r="K48" s="28">
        <f>IFERROR(J48/$J$51,0)</f>
        <v>5.2303185662417873E-3</v>
      </c>
      <c r="L48" s="26"/>
    </row>
    <row r="49" spans="2:12" ht="15.75" customHeight="1" x14ac:dyDescent="0.2">
      <c r="C49" s="29"/>
    </row>
    <row r="50" spans="2:12" ht="15.75" customHeight="1" x14ac:dyDescent="0.2">
      <c r="B50" s="14" t="s">
        <v>153</v>
      </c>
      <c r="C50" s="29"/>
      <c r="E50" s="30">
        <f>(E15+E24+E32+E40+E48)*Допущения!$C$17</f>
        <v>162720</v>
      </c>
      <c r="F50" s="30">
        <f>(F15+F24+F32+F40+F48)*Допущения!$C$17</f>
        <v>354714</v>
      </c>
      <c r="G50" s="30">
        <f>(G15+G24+G32+G40+G48)*Допущения!$C$17</f>
        <v>900137.04</v>
      </c>
      <c r="H50" s="30">
        <f>(H15+H24+H32+H40+H48)*Допущения!$C$17</f>
        <v>1709178.5375999997</v>
      </c>
      <c r="I50" s="30">
        <f>(I15+I24+I32+I40+I48)*Допущения!$C$17</f>
        <v>2940510.5391359995</v>
      </c>
      <c r="J50" s="22">
        <f>SUM(E50:I50)</f>
        <v>6067260.1167359985</v>
      </c>
      <c r="L50" s="6" t="s">
        <v>154</v>
      </c>
    </row>
    <row r="51" spans="2:12" ht="15.75" customHeight="1" x14ac:dyDescent="0.2">
      <c r="B51" s="25" t="s">
        <v>155</v>
      </c>
      <c r="C51" s="29"/>
      <c r="E51" s="27">
        <f>E15+E24+E32+E40+E48+E50</f>
        <v>1247520</v>
      </c>
      <c r="F51" s="27">
        <f>F15+F24+F32+F40+F48+F50</f>
        <v>2719474</v>
      </c>
      <c r="G51" s="27">
        <f>G15+G24+G32+G40+G48+G50</f>
        <v>6901050.6400000006</v>
      </c>
      <c r="H51" s="27">
        <f>H15+H24+H32+H40+H48+H50</f>
        <v>13103702.121599998</v>
      </c>
      <c r="I51" s="27">
        <f>I15+I24+I32+I40+I48+I50</f>
        <v>22543914.133375999</v>
      </c>
      <c r="J51" s="27">
        <f>SUM(E51:I51)</f>
        <v>46515660.894975998</v>
      </c>
    </row>
    <row r="52" spans="2:12" ht="15.75" customHeight="1" x14ac:dyDescent="0.2">
      <c r="B52" s="7" t="s">
        <v>156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2:12" ht="15.75" customHeight="1" x14ac:dyDescent="0.2">
      <c r="B53" s="10" t="s">
        <v>157</v>
      </c>
      <c r="E53" s="30">
        <f>(1-Допущения!$C$20)*525600*Допущения!$C$19*Допущения!$C$21</f>
        <v>0</v>
      </c>
      <c r="F53" s="30">
        <f>(1-Допущения!$C$20)*525600*Допущения!$C$19*Допущения!$C$21</f>
        <v>0</v>
      </c>
      <c r="G53" s="30">
        <f>(1-Допущения!$C$20)*525600*Допущения!$C$19*Допущения!$C$21</f>
        <v>0</v>
      </c>
      <c r="H53" s="30">
        <f>(1-Допущения!$C$20)*525600*Допущения!$C$19*Допущения!$C$21</f>
        <v>0</v>
      </c>
      <c r="I53" s="30">
        <f>(1-Допущения!$C$20)*525600*Допущения!$C$19*Допущения!$C$21</f>
        <v>0</v>
      </c>
      <c r="J53" s="22">
        <f>SUM(E53:I53)</f>
        <v>0</v>
      </c>
      <c r="L53" s="12" t="s">
        <v>158</v>
      </c>
    </row>
    <row r="54" spans="2:12" ht="15.75" customHeight="1" x14ac:dyDescent="0.2">
      <c r="B54" s="25" t="s">
        <v>159</v>
      </c>
      <c r="E54" s="27">
        <f>E51+E53</f>
        <v>1247520</v>
      </c>
      <c r="F54" s="27">
        <f>F51+F53</f>
        <v>2719474</v>
      </c>
      <c r="G54" s="27">
        <f>G51+G53</f>
        <v>6901050.6400000006</v>
      </c>
      <c r="H54" s="27">
        <f>H51+H53</f>
        <v>13103702.121599998</v>
      </c>
      <c r="I54" s="27">
        <f>I51+I53</f>
        <v>22543914.133375999</v>
      </c>
      <c r="J54" s="27">
        <f>SUM(E54:I54)</f>
        <v>46515660.894975998</v>
      </c>
    </row>
    <row r="55" spans="2:12" ht="15.75" customHeight="1" x14ac:dyDescent="0.2">
      <c r="B55" s="10" t="s">
        <v>160</v>
      </c>
      <c r="E55" s="31">
        <f>1/(1+Допущения!$C$16)^0</f>
        <v>1</v>
      </c>
      <c r="F55" s="31">
        <f>1/(1+Допущения!$C$16)^1</f>
        <v>0.83333333333333337</v>
      </c>
      <c r="G55" s="31">
        <f>1/(1+Допущения!$C$16)^2</f>
        <v>0.69444444444444442</v>
      </c>
      <c r="H55" s="31">
        <f>1/(1+Допущения!$C$16)^3</f>
        <v>0.57870370370370372</v>
      </c>
      <c r="I55" s="31">
        <f>1/(1+Допущения!$C$16)^4</f>
        <v>0.48225308641975312</v>
      </c>
    </row>
    <row r="56" spans="2:12" ht="15.75" customHeight="1" x14ac:dyDescent="0.2">
      <c r="B56" s="25" t="s">
        <v>161</v>
      </c>
      <c r="E56" s="27">
        <f>E54*E55</f>
        <v>1247520</v>
      </c>
      <c r="F56" s="27">
        <f>F54*F55</f>
        <v>2266228.3333333335</v>
      </c>
      <c r="G56" s="27">
        <f>G54*G55</f>
        <v>4792396.277777778</v>
      </c>
      <c r="H56" s="27">
        <f>H54*H55</f>
        <v>7583160.9499999993</v>
      </c>
      <c r="I56" s="27">
        <f>I54*I55</f>
        <v>10871872.170802468</v>
      </c>
      <c r="J56" s="27">
        <f>SUM(E56:I56)</f>
        <v>26761177.731913581</v>
      </c>
    </row>
    <row r="57" spans="2:12" ht="15.75" customHeight="1" x14ac:dyDescent="0.2"/>
    <row r="58" spans="2:12" ht="15.75" customHeight="1" x14ac:dyDescent="0.2">
      <c r="B58" s="7" t="s">
        <v>162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2:12" ht="15.75" customHeight="1" x14ac:dyDescent="0.2">
      <c r="B59" s="14" t="s">
        <v>163</v>
      </c>
      <c r="E59" s="35">
        <f>J51</f>
        <v>46515660.894975998</v>
      </c>
      <c r="F59" s="36"/>
      <c r="L59" s="12" t="s">
        <v>164</v>
      </c>
    </row>
    <row r="60" spans="2:12" ht="15.75" customHeight="1" x14ac:dyDescent="0.2">
      <c r="B60" s="14" t="s">
        <v>165</v>
      </c>
      <c r="E60" s="35">
        <f>J54</f>
        <v>46515660.894975998</v>
      </c>
      <c r="F60" s="36"/>
      <c r="L60" s="12" t="s">
        <v>166</v>
      </c>
    </row>
    <row r="61" spans="2:12" ht="15.75" customHeight="1" x14ac:dyDescent="0.2">
      <c r="B61" s="14" t="s">
        <v>167</v>
      </c>
      <c r="E61" s="35">
        <f>J56</f>
        <v>26761177.731913581</v>
      </c>
      <c r="F61" s="36"/>
      <c r="L61" s="12" t="s">
        <v>168</v>
      </c>
    </row>
    <row r="62" spans="2:12" ht="15.75" customHeight="1" x14ac:dyDescent="0.2">
      <c r="B62" s="14" t="s">
        <v>169</v>
      </c>
      <c r="E62" s="35">
        <f>J51/5</f>
        <v>9303132.1789951995</v>
      </c>
      <c r="F62" s="36"/>
      <c r="L62" s="12" t="s">
        <v>170</v>
      </c>
    </row>
    <row r="63" spans="2:12" ht="15.75" customHeight="1" x14ac:dyDescent="0.2">
      <c r="B63" s="14" t="s">
        <v>171</v>
      </c>
      <c r="E63" s="35">
        <f>E15/12</f>
        <v>3900</v>
      </c>
      <c r="F63" s="36"/>
      <c r="L63" s="12" t="s">
        <v>172</v>
      </c>
    </row>
    <row r="64" spans="2:12" ht="15.75" customHeight="1" x14ac:dyDescent="0.2">
      <c r="B64" s="14" t="s">
        <v>173</v>
      </c>
      <c r="E64" s="49" t="str">
        <f>IF(E15/12&lt;=Допущения!$C$18,"В бюджете CFO","ПРЕВЫШЕНИЕ бюджета")</f>
        <v>В бюджете CFO</v>
      </c>
      <c r="F64" s="36"/>
      <c r="L64" s="12" t="s">
        <v>174</v>
      </c>
    </row>
    <row r="65" spans="2:12" ht="15.75" customHeight="1" x14ac:dyDescent="0.2">
      <c r="B65" s="14" t="s">
        <v>175</v>
      </c>
      <c r="E65" s="48">
        <f>IFERROR(J51/SUM(Допущения!$C$8:$G$8),0)</f>
        <v>1.6976518574808759</v>
      </c>
      <c r="F65" s="36"/>
      <c r="L65" s="12" t="s">
        <v>176</v>
      </c>
    </row>
    <row r="66" spans="2:12" ht="15.75" customHeight="1" x14ac:dyDescent="0.2">
      <c r="B66" s="14" t="s">
        <v>177</v>
      </c>
      <c r="E66" s="48">
        <f>IFERROR(I51/Допущения!$G$7,0)</f>
        <v>2.2543914133375997</v>
      </c>
      <c r="F66" s="36"/>
      <c r="L66" s="12" t="s">
        <v>178</v>
      </c>
    </row>
    <row r="67" spans="2:12" ht="15.75" customHeight="1" x14ac:dyDescent="0.2">
      <c r="B67" s="14" t="s">
        <v>179</v>
      </c>
      <c r="E67" s="47">
        <f>IFERROR(J51/SUM(Допущения!$C$10:$G$10),0)</f>
        <v>7.986892324E-2</v>
      </c>
      <c r="F67" s="36"/>
      <c r="L67" s="12" t="s">
        <v>180</v>
      </c>
    </row>
    <row r="68" spans="2:12" ht="15.75" customHeight="1" x14ac:dyDescent="0.2">
      <c r="B68" s="14" t="s">
        <v>181</v>
      </c>
      <c r="E68" s="45">
        <f>IFERROR(J15/J51,0)</f>
        <v>4.5002464308576393E-2</v>
      </c>
      <c r="F68" s="36"/>
      <c r="L68" s="12" t="s">
        <v>182</v>
      </c>
    </row>
    <row r="69" spans="2:12" ht="15.75" customHeight="1" x14ac:dyDescent="0.2">
      <c r="B69" s="14" t="s">
        <v>183</v>
      </c>
      <c r="E69" s="45">
        <f>IFERROR(J32/J51,0)</f>
        <v>0.70989424560807457</v>
      </c>
      <c r="F69" s="36"/>
      <c r="L69" s="12" t="s">
        <v>184</v>
      </c>
    </row>
    <row r="70" spans="2:12" ht="15.75" customHeight="1" x14ac:dyDescent="0.2">
      <c r="B70" s="14" t="s">
        <v>185</v>
      </c>
      <c r="E70" s="45">
        <f>IFERROR(J40/J51,0)</f>
        <v>9.6421509441445397E-2</v>
      </c>
      <c r="F70" s="36"/>
      <c r="L70" s="12" t="s">
        <v>186</v>
      </c>
    </row>
    <row r="71" spans="2:12" ht="15.75" customHeight="1" x14ac:dyDescent="0.2"/>
    <row r="72" spans="2:12" ht="15.75" customHeight="1" x14ac:dyDescent="0.2">
      <c r="B72" s="46" t="s">
        <v>187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</row>
    <row r="73" spans="2:12" ht="15" customHeight="1" x14ac:dyDescent="0.2">
      <c r="B73" s="37" t="s">
        <v>230</v>
      </c>
      <c r="C73" s="38"/>
      <c r="D73" s="38"/>
      <c r="E73" s="38"/>
      <c r="F73" s="38"/>
      <c r="G73" s="38"/>
      <c r="H73" s="38"/>
      <c r="I73" s="38"/>
      <c r="J73" s="38"/>
      <c r="K73" s="38"/>
      <c r="L73" s="39"/>
    </row>
    <row r="74" spans="2:12" ht="15.75" customHeight="1" x14ac:dyDescent="0.2">
      <c r="B74" s="40"/>
      <c r="C74" s="33"/>
      <c r="D74" s="33"/>
      <c r="E74" s="33"/>
      <c r="F74" s="33"/>
      <c r="G74" s="33"/>
      <c r="H74" s="33"/>
      <c r="I74" s="33"/>
      <c r="J74" s="33"/>
      <c r="K74" s="33"/>
      <c r="L74" s="41"/>
    </row>
    <row r="75" spans="2:12" ht="15.75" customHeight="1" x14ac:dyDescent="0.2">
      <c r="B75" s="42"/>
      <c r="C75" s="43"/>
      <c r="D75" s="43"/>
      <c r="E75" s="43"/>
      <c r="F75" s="43"/>
      <c r="G75" s="43"/>
      <c r="H75" s="43"/>
      <c r="I75" s="43"/>
      <c r="J75" s="43"/>
      <c r="K75" s="43"/>
      <c r="L75" s="44"/>
    </row>
    <row r="76" spans="2:12" ht="15.75" customHeight="1" x14ac:dyDescent="0.2"/>
    <row r="77" spans="2:12" ht="15.75" customHeight="1" x14ac:dyDescent="0.2"/>
    <row r="78" spans="2:12" ht="15.75" customHeight="1" x14ac:dyDescent="0.2"/>
    <row r="79" spans="2:12" ht="15.75" customHeight="1" x14ac:dyDescent="0.2"/>
    <row r="80" spans="2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4">
    <mergeCell ref="E59:F59"/>
    <mergeCell ref="B73:L75"/>
    <mergeCell ref="E68:F68"/>
    <mergeCell ref="E62:F62"/>
    <mergeCell ref="B72:L72"/>
    <mergeCell ref="E63:F63"/>
    <mergeCell ref="E67:F67"/>
    <mergeCell ref="E69:F69"/>
    <mergeCell ref="E66:F66"/>
    <mergeCell ref="E61:F61"/>
    <mergeCell ref="E60:F60"/>
    <mergeCell ref="E70:F70"/>
    <mergeCell ref="E64:F64"/>
    <mergeCell ref="E65:F65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Инструкция</vt:lpstr>
      <vt:lpstr>Допущения</vt:lpstr>
      <vt:lpstr>TCO-A-monolit</vt:lpstr>
      <vt:lpstr>TCO-B-cto</vt:lpstr>
      <vt:lpstr>TCO-C1-macro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Povalikhin.go</cp:lastModifiedBy>
  <dcterms:created xsi:type="dcterms:W3CDTF">2026-08-24T07:50:39Z</dcterms:created>
  <dcterms:modified xsi:type="dcterms:W3CDTF">2026-09-23T14:24:25Z</dcterms:modified>
</cp:coreProperties>
</file>