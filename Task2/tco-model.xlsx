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660" windowWidth="33040" windowHeight="21680" tabRatio="600" firstSheet="0" activeTab="4" autoFilterDateGrouping="1"/>
  </bookViews>
  <sheets>
    <sheet name="Инструкция" sheetId="1" state="visible" r:id="rId1"/>
    <sheet name="Допущения" sheetId="2" state="visible" r:id="rId2"/>
    <sheet name="TCO-A-monolit" sheetId="3" state="visible" r:id="rId3"/>
    <sheet name="TCO-B-cto" sheetId="4" state="visible" r:id="rId4"/>
    <sheet name="TCO-C1-macro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2">
    <font>
      <name val="Calibri"/>
      <color theme="1"/>
      <sz val="11"/>
      <scheme val="minor"/>
    </font>
    <font>
      <name val="Arial"/>
      <family val="2"/>
      <b val="1"/>
      <color theme="1"/>
      <sz val="14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i val="1"/>
      <color rgb="FF8080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C00000"/>
      <sz val="10"/>
    </font>
    <font>
      <name val="Arial"/>
      <family val="2"/>
      <color rgb="FF0000FF"/>
      <sz val="10"/>
    </font>
    <font>
      <name val="Calibri"/>
      <family val="2"/>
      <color theme="1"/>
      <sz val="11"/>
      <scheme val="minor"/>
    </font>
    <font>
      <name val="Arial"/>
      <family val="2"/>
      <color rgb="FF008000"/>
      <sz val="10"/>
    </font>
  </fonts>
  <fills count="7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4" fillId="2" borderId="2" pivotButton="0" quotePrefix="0" xfId="0"/>
    <xf numFmtId="0" fontId="5" fillId="2" borderId="2" pivotButton="0" quotePrefix="0" xfId="0"/>
    <xf numFmtId="0" fontId="7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9" fillId="4" borderId="2" pivotButton="0" quotePrefix="0" xfId="0"/>
    <xf numFmtId="0" fontId="6" fillId="0" borderId="0" applyAlignment="1" pivotButton="0" quotePrefix="0" xfId="0">
      <alignment vertical="top" wrapText="1"/>
    </xf>
    <xf numFmtId="164" fontId="9" fillId="4" borderId="2" pivotButton="0" quotePrefix="0" xfId="0"/>
    <xf numFmtId="0" fontId="2" fillId="0" borderId="2" pivotButton="0" quotePrefix="0" xfId="0"/>
    <xf numFmtId="165" fontId="2" fillId="0" borderId="2" pivotButton="0" quotePrefix="0" xfId="0"/>
    <xf numFmtId="0" fontId="9" fillId="4" borderId="2" pivotButton="0" quotePrefix="0" xfId="0"/>
    <xf numFmtId="165" fontId="9" fillId="4" borderId="2" pivotButton="0" quotePrefix="0" xfId="0"/>
    <xf numFmtId="166" fontId="9" fillId="4" borderId="2" pivotButton="0" quotePrefix="0" xfId="0"/>
    <xf numFmtId="167" fontId="9" fillId="4" borderId="2" pivotButton="0" quotePrefix="0" xfId="0"/>
    <xf numFmtId="1" fontId="9" fillId="4" borderId="2" pivotButton="0" quotePrefix="0" xfId="0"/>
    <xf numFmtId="2" fontId="3" fillId="0" borderId="2" pivotButton="0" quotePrefix="0" xfId="0"/>
    <xf numFmtId="165" fontId="3" fillId="0" borderId="2" pivotButton="0" quotePrefix="0" xfId="0"/>
    <xf numFmtId="0" fontId="5" fillId="0" borderId="2" pivotButton="0" quotePrefix="0" xfId="0"/>
    <xf numFmtId="0" fontId="6" fillId="0" borderId="2" applyAlignment="1" pivotButton="0" quotePrefix="0" xfId="0">
      <alignment vertical="top" wrapText="1"/>
    </xf>
    <xf numFmtId="0" fontId="2" fillId="5" borderId="2" pivotButton="0" quotePrefix="0" xfId="0"/>
    <xf numFmtId="0" fontId="5" fillId="5" borderId="2" pivotButton="0" quotePrefix="0" xfId="0"/>
    <xf numFmtId="165" fontId="2" fillId="5" borderId="2" pivotButton="0" quotePrefix="0" xfId="0"/>
    <xf numFmtId="166" fontId="2" fillId="5" borderId="2" pivotButton="0" quotePrefix="0" xfId="0"/>
    <xf numFmtId="0" fontId="10" fillId="0" borderId="0" pivotButton="0" quotePrefix="0" xfId="0"/>
    <xf numFmtId="165" fontId="11" fillId="0" borderId="2" pivotButton="0" quotePrefix="0" xfId="0"/>
    <xf numFmtId="168" fontId="11" fillId="0" borderId="2" pivotButton="0" quotePrefix="0" xfId="0"/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6" fillId="0" borderId="1" applyAlignment="1" pivotButton="0" quotePrefix="0" xfId="0">
      <alignment vertical="top" wrapText="1"/>
    </xf>
    <xf numFmtId="165" fontId="2" fillId="6" borderId="2" pivotButton="0" quotePrefix="0" xfId="0"/>
    <xf numFmtId="0" fontId="0" fillId="0" borderId="3" pivotButton="0" quotePrefix="0" xfId="0"/>
    <xf numFmtId="0" fontId="9" fillId="4" borderId="2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6" fontId="2" fillId="6" borderId="2" pivotButton="0" quotePrefix="0" xfId="0"/>
    <xf numFmtId="0" fontId="4" fillId="0" borderId="1" pivotButton="0" quotePrefix="0" xfId="0"/>
    <xf numFmtId="10" fontId="2" fillId="6" borderId="2" pivotButton="0" quotePrefix="0" xfId="0"/>
    <xf numFmtId="164" fontId="2" fillId="6" borderId="2" pivotButton="0" quotePrefix="0" xfId="0"/>
    <xf numFmtId="0" fontId="2" fillId="6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10" defaultColWidth="14.5" defaultRowHeight="15" customHeight="1"/>
  <cols>
    <col width="3" customWidth="1" style="33" min="1" max="1"/>
    <col width="46" customWidth="1" style="33" min="2" max="2"/>
    <col width="78" customWidth="1" style="33" min="3" max="3"/>
    <col width="8.6640625" customWidth="1" style="33" min="4" max="26"/>
  </cols>
  <sheetData>
    <row r="2" ht="18" customHeight="1" s="33">
      <c r="B2" s="1" t="inlineStr">
        <is>
          <t>Модель TCO (Total Cost of Ownership) — кейс «Africa Delivery», горизонт 5 лет</t>
        </is>
      </c>
    </row>
    <row r="3">
      <c r="B3" s="2" t="n"/>
      <c r="C3" s="3" t="n"/>
    </row>
    <row r="4">
      <c r="B4" s="4" t="inlineStr">
        <is>
          <t>Зачем этот файл</t>
        </is>
      </c>
      <c r="C4" s="5" t="n"/>
    </row>
    <row r="5" ht="30" customHeight="1" s="33">
      <c r="B5" s="2" t="inlineStr">
        <is>
          <t>Задача</t>
        </is>
      </c>
      <c r="C5" s="3" t="inlineStr">
        <is>
      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      </is>
      </c>
    </row>
    <row r="6" ht="30" customHeight="1" s="33">
      <c r="B6" s="2" t="inlineStr">
        <is>
          <t>Как использовать</t>
        </is>
      </c>
      <c r="C6" s="3" t="inlineStr">
        <is>
      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      </is>
      </c>
    </row>
    <row r="7">
      <c r="B7" s="2" t="n"/>
      <c r="C7" s="3" t="n"/>
    </row>
    <row r="8">
      <c r="B8" s="4" t="inlineStr">
        <is>
          <t>Цветовая легенда</t>
        </is>
      </c>
      <c r="C8" s="5" t="n"/>
    </row>
    <row r="9">
      <c r="B9" s="2" t="inlineStr">
        <is>
          <t>Синий текст на жёлтом фоне</t>
        </is>
      </c>
      <c r="C9" s="3" t="inlineStr">
        <is>
          <t>Ячейки для заполнения. Только их и редактируем.</t>
        </is>
      </c>
    </row>
    <row r="10">
      <c r="B10" s="2" t="inlineStr">
        <is>
          <t>Чёрный текст</t>
        </is>
      </c>
      <c r="C10" s="3" t="inlineStr">
        <is>
          <t>Формулы. Не трогаем — пересчитаются сами.</t>
        </is>
      </c>
    </row>
    <row r="11">
      <c r="B11" s="2" t="inlineStr">
        <is>
          <t>Зелёный текст</t>
        </is>
      </c>
      <c r="C11" s="3" t="inlineStr">
        <is>
          <t>Ссылка на лист «Допущения».</t>
        </is>
      </c>
    </row>
    <row r="12">
      <c r="B12" s="2" t="n"/>
      <c r="C12" s="3" t="n"/>
    </row>
    <row r="13">
      <c r="B13" s="4" t="inlineStr">
        <is>
          <t>Порядок работы</t>
        </is>
      </c>
      <c r="C13" s="5" t="n"/>
    </row>
    <row r="14" ht="30" customHeight="1" s="33">
      <c r="B14" s="2" t="inlineStr">
        <is>
          <t>Шаг 1</t>
        </is>
      </c>
      <c r="C14" s="3" t="inlineStr">
        <is>
          <t>Лист «Допущения» → блок 1: вбить драйверы бизнеса по годам (активные пользователи, число заказов, средний чек). Из них считается GMV.</t>
        </is>
      </c>
    </row>
    <row r="15" ht="30" customHeight="1" s="33">
      <c r="B15" s="2" t="inlineStr">
        <is>
          <t>Шаг 2</t>
        </is>
      </c>
      <c r="C15" s="3" t="inlineStr">
        <is>
          <t>Лист «Допущения» → блок 2: финансовые допущения (инфляция, рост ФОТ, ставка дисконтирования, резерв, целевой SLO).</t>
        </is>
      </c>
    </row>
    <row r="16" ht="30" customHeight="1" s="33">
      <c r="B16" s="2" t="inlineStr">
        <is>
          <t>Шаг 3</t>
        </is>
      </c>
      <c r="C16" s="3" t="inlineStr">
        <is>
      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      </is>
      </c>
    </row>
    <row r="17" ht="30" customHeight="1" s="33">
      <c r="B17" s="2" t="inlineStr">
        <is>
          <t>Шаг 4</t>
        </is>
      </c>
      <c r="C17" s="3" t="inlineStr">
        <is>
      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      </is>
      </c>
    </row>
    <row r="18" ht="30" customHeight="1" s="33">
      <c r="B18" s="2" t="inlineStr">
        <is>
          <t>Шаг 5</t>
        </is>
      </c>
      <c r="C18" s="3" t="inlineStr">
        <is>
          <t>Посмотреть блок «Ключевые метрики» внизу листа «TCO»: итог за 5 лет, NPV, стоимость на заказ, проверку бюджета CFO ($9k/мес на облако).</t>
        </is>
      </c>
    </row>
    <row r="19">
      <c r="B19" s="2" t="n"/>
      <c r="C19" s="3" t="n"/>
    </row>
    <row r="20">
      <c r="B20" s="4" t="inlineStr">
        <is>
          <t>Что важно не забыть в этом кейсе</t>
        </is>
      </c>
      <c r="C20" s="5" t="n"/>
    </row>
    <row r="21" ht="30" customHeight="1" s="33">
      <c r="B21" s="2" t="inlineStr">
        <is>
          <t>Бюджет CFO</t>
        </is>
      </c>
      <c r="C21" s="3" t="inlineStr">
        <is>
          <t>$9 000/мес на облако на старте. Если Год 1 в блоке «Облачная инфраструктура» не проходит — это архитектурное решение, а не ошибка модели: опиши, что урезаешь.</t>
        </is>
      </c>
    </row>
    <row r="22" ht="30" customHeight="1" s="33">
      <c r="B22" s="2" t="inlineStr">
        <is>
          <t>Цена простоя</t>
        </is>
      </c>
      <c r="C22" s="3" t="inlineStr">
        <is>
          <t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      </is>
      </c>
    </row>
    <row r="23" ht="30" customHeight="1" s="33">
      <c r="B23" s="2" t="inlineStr">
        <is>
          <t>Транзакционные расходы</t>
        </is>
      </c>
      <c r="C23" s="3" t="inlineStr">
        <is>
      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      </is>
      </c>
    </row>
    <row r="24" ht="30" customHeight="1" s="33">
      <c r="B24" s="2" t="inlineStr">
        <is>
          <t>Сравнение вариантов</t>
        </is>
      </c>
      <c r="C24" s="3" t="inlineStr">
        <is>
          <t>Транзакционные расходы (блок 3) почти одинаковы для любой архитектуры — это pass-through от оборота. Варианты архитектуры сравнивай по блокам 1, 2, 4 и 6.</t>
        </is>
      </c>
    </row>
    <row r="25" ht="30" customHeight="1" s="33">
      <c r="B25" s="2" t="inlineStr">
        <is>
          <t>Разовые затраты</t>
        </is>
      </c>
      <c r="C25" s="3" t="inlineStr">
        <is>
      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      </is>
      </c>
    </row>
    <row r="26" ht="30" customHeight="1" s="33">
      <c r="B26" s="2" t="inlineStr">
        <is>
          <t>Люди</t>
        </is>
      </c>
      <c r="C26" s="3" t="inlineStr">
        <is>
      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      </is>
      </c>
    </row>
    <row r="27" ht="15.75" customHeight="1" s="33">
      <c r="B27" s="2" t="n"/>
      <c r="C27" s="3" t="n"/>
    </row>
    <row r="28" ht="30" customHeight="1" s="33">
      <c r="B28" s="32" t="inlineStr">
        <is>
          <t>Все числа в файле — примеры для демонстрации формата. Замени их своими оценками и укажи источник в колонке «Комментарий / источник».</t>
        </is>
      </c>
    </row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28:C28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4.5" defaultRowHeight="15" customHeight="1"/>
  <cols>
    <col width="3" customWidth="1" style="33" min="1" max="1"/>
    <col width="42" customWidth="1" style="33" min="2" max="2"/>
    <col width="15" customWidth="1" style="33" min="3" max="7"/>
    <col width="52" customWidth="1" style="33" min="8" max="8"/>
    <col width="8.6640625" customWidth="1" style="33" min="9" max="26"/>
  </cols>
  <sheetData>
    <row r="2" ht="18" customHeight="1" s="33">
      <c r="B2" s="1" t="inlineStr">
        <is>
          <t>Допущения модели TCO — Africa Delivery</t>
        </is>
      </c>
    </row>
    <row r="3">
      <c r="B3" s="6" t="inlineStr">
        <is>
          <t>Заполняются только ячейки с жёлтой заливкой. Все числа ниже — пример, заменить своими.</t>
        </is>
      </c>
    </row>
    <row r="5">
      <c r="B5" s="7" t="inlineStr">
        <is>
          <t>1. Драйверы бизнеса — заполнить</t>
        </is>
      </c>
      <c r="C5" s="8" t="n"/>
      <c r="D5" s="8" t="n"/>
      <c r="E5" s="8" t="n"/>
      <c r="F5" s="8" t="n"/>
      <c r="G5" s="8" t="n"/>
      <c r="H5" s="8" t="n"/>
    </row>
    <row r="6">
      <c r="B6" s="9" t="inlineStr">
        <is>
          <t>Показатель</t>
        </is>
      </c>
      <c r="C6" s="9" t="inlineStr">
        <is>
          <t>Год 1</t>
        </is>
      </c>
      <c r="D6" s="9" t="inlineStr">
        <is>
          <t>Год 2</t>
        </is>
      </c>
      <c r="E6" s="9" t="inlineStr">
        <is>
          <t>Год 3</t>
        </is>
      </c>
      <c r="F6" s="9" t="inlineStr">
        <is>
          <t>Год 4</t>
        </is>
      </c>
      <c r="G6" s="9" t="inlineStr">
        <is>
          <t>Год 5</t>
        </is>
      </c>
      <c r="H6" s="9" t="inlineStr">
        <is>
          <t>Комментарий / источник</t>
        </is>
      </c>
    </row>
    <row r="7" ht="26" customHeight="1" s="33">
      <c r="B7" s="10" t="inlineStr">
        <is>
          <t>Активные пользователи (на конец года)</t>
        </is>
      </c>
      <c r="C7" s="11" t="n">
        <v>400000</v>
      </c>
      <c r="D7" s="11" t="n">
        <v>1200000</v>
      </c>
      <c r="E7" s="11" t="n">
        <v>3000000</v>
      </c>
      <c r="F7" s="11" t="n">
        <v>6000000</v>
      </c>
      <c r="G7" s="11" t="n">
        <v>10000000</v>
      </c>
      <c r="H7" s="12" t="inlineStr">
        <is>
          <t>Год 1: 1M+ регистраций (цель бизнеса), активные - доля; год 5: путь к 10M (артефакт 5)</t>
        </is>
      </c>
    </row>
    <row r="8" ht="26" customHeight="1" s="33">
      <c r="B8" s="10" t="inlineStr">
        <is>
          <t>Число заказов в год</t>
        </is>
      </c>
      <c r="C8" s="11" t="n">
        <v>200000</v>
      </c>
      <c r="D8" s="11" t="n">
        <v>1200000</v>
      </c>
      <c r="E8" s="11" t="n">
        <v>4000000</v>
      </c>
      <c r="F8" s="11" t="n">
        <v>8000000</v>
      </c>
      <c r="G8" s="11" t="n">
        <v>14000000</v>
      </c>
      <c r="H8" s="12" t="inlineStr">
        <is>
          <t>Год 1: пилот 2k заказов/день в пике (Task1 Q1); рост с выходом в 5 стран</t>
        </is>
      </c>
    </row>
    <row r="9" ht="26" customHeight="1" s="33">
      <c r="B9" s="10" t="inlineStr">
        <is>
          <t>Средний чек (AOV), $</t>
        </is>
      </c>
      <c r="C9" s="13" t="n">
        <v>18</v>
      </c>
      <c r="D9" s="13" t="n">
        <v>19</v>
      </c>
      <c r="E9" s="13" t="n">
        <v>20</v>
      </c>
      <c r="F9" s="13" t="n">
        <v>21</v>
      </c>
      <c r="G9" s="13" t="n">
        <v>22</v>
      </c>
      <c r="H9" s="12" t="inlineStr">
        <is>
          <t>Оценка по рынку Jumia/Takealot, low-price стратегия (описание кейса)</t>
        </is>
      </c>
    </row>
    <row r="10">
      <c r="B10" s="14" t="inlineStr">
        <is>
          <t>GMV, $ в год (расчёт)</t>
        </is>
      </c>
      <c r="C10" s="15">
        <f>C8*C9</f>
        <v/>
      </c>
      <c r="D10" s="15">
        <f>D8*D9</f>
        <v/>
      </c>
      <c r="E10" s="15">
        <f>E8*E9</f>
        <v/>
      </c>
      <c r="F10" s="15">
        <f>F8*F9</f>
        <v/>
      </c>
      <c r="G10" s="15">
        <f>G8*G9</f>
        <v/>
      </c>
      <c r="H10" s="12" t="inlineStr">
        <is>
          <t>Расчёт: заказы × средний чек</t>
        </is>
      </c>
    </row>
    <row r="12">
      <c r="B12" s="7" t="inlineStr">
        <is>
          <t>2. Финансовые допущения — заполнить</t>
        </is>
      </c>
      <c r="C12" s="8" t="n"/>
      <c r="D12" s="8" t="n"/>
      <c r="E12" s="8" t="n"/>
      <c r="F12" s="8" t="n"/>
      <c r="G12" s="8" t="n"/>
      <c r="H12" s="8" t="n"/>
    </row>
    <row r="13">
      <c r="B13" s="9" t="inlineStr">
        <is>
          <t>Параметр</t>
        </is>
      </c>
      <c r="C13" s="9" t="inlineStr">
        <is>
          <t>Значение</t>
        </is>
      </c>
      <c r="D13" s="9" t="n"/>
      <c r="E13" s="9" t="n"/>
      <c r="F13" s="9" t="n"/>
      <c r="G13" s="9" t="n"/>
      <c r="H13" s="9" t="inlineStr">
        <is>
          <t>Комментарий / источник</t>
        </is>
      </c>
    </row>
    <row r="14">
      <c r="B14" s="10" t="inlineStr">
        <is>
          <t>Инфляция затрат, % в год</t>
        </is>
      </c>
      <c r="C14" s="18" t="n">
        <v>0.08</v>
      </c>
      <c r="H14" s="12" t="inlineStr">
        <is>
          <t>Применяется к статьям с драйвером «инфляция»</t>
        </is>
      </c>
    </row>
    <row r="15">
      <c r="B15" s="10" t="inlineStr">
        <is>
          <t>Рост ФОТ, % в год</t>
        </is>
      </c>
      <c r="C15" s="18" t="n">
        <v>0.12</v>
      </c>
      <c r="H15" s="12" t="inlineStr">
        <is>
          <t>Дефицит ИТ-специалистов на рынке — рост выше инфляции</t>
        </is>
      </c>
    </row>
    <row r="16">
      <c r="B16" s="10" t="inlineStr">
        <is>
          <t>Ставка дисконтирования, % в год</t>
        </is>
      </c>
      <c r="C16" s="18" t="n">
        <v>0.2</v>
      </c>
      <c r="H16" s="12" t="inlineStr">
        <is>
          <t>Для расчёта NPV затрат. Стартап, высокий риск</t>
        </is>
      </c>
    </row>
    <row r="17">
      <c r="B17" s="10" t="inlineStr">
        <is>
          <t>Резерв на непредвиденное (contingency), %</t>
        </is>
      </c>
      <c r="C17" s="18" t="n">
        <v>0.15</v>
      </c>
      <c r="H17" s="12" t="inlineStr">
        <is>
          <t>Надбавка к прямым затратам</t>
        </is>
      </c>
    </row>
    <row r="18">
      <c r="B18" s="10" t="inlineStr">
        <is>
          <t>Бюджет CFO на облако, $/мес</t>
        </is>
      </c>
      <c r="C18" s="17" t="n">
        <v>5000</v>
      </c>
      <c r="H18" s="12" t="inlineStr">
        <is>
          <t>Жесткий потолок $5k/мес (артефакт 6)</t>
        </is>
      </c>
    </row>
    <row r="19">
      <c r="B19" s="10" t="inlineStr">
        <is>
          <t>Стоимость минуты простоя, $</t>
        </is>
      </c>
      <c r="C19" s="17" t="n">
        <v>12000</v>
      </c>
      <c r="H19" s="12" t="inlineStr">
        <is>
          <t>Оценка инвестора из условия кейса</t>
        </is>
      </c>
    </row>
    <row r="20" ht="26" customHeight="1" s="33">
      <c r="B20" s="10" t="inlineStr">
        <is>
          <t>Целевой SLO (доступность), %</t>
        </is>
      </c>
      <c r="C20" s="19" t="n">
        <v>0.999</v>
      </c>
      <c r="H20" s="12" t="inlineStr">
        <is>
          <t>Дифференцированный SLO: 99,9% на контур заказа (Task1, противоречие 1)</t>
        </is>
      </c>
    </row>
    <row r="21" ht="15.75" customHeight="1" s="33">
      <c r="B21" s="10" t="inlineStr">
        <is>
          <t>Учитывать стоимость простоя в TCO (1 — да, 0 — нет)</t>
        </is>
      </c>
      <c r="C21" s="20" t="n">
        <v>0</v>
      </c>
      <c r="H21" s="12" t="inlineStr">
        <is>
          <t>Стоимость простоя считаем отдельным сценарием в ADR-001, в TCO не включаем</t>
        </is>
      </c>
    </row>
    <row r="22" ht="15.75" customHeight="1" s="33"/>
    <row r="23" ht="15.75" customHeight="1" s="33">
      <c r="B23" s="7" t="inlineStr">
        <is>
          <t>3. Индексы роста — расчёт, не редактировать</t>
        </is>
      </c>
      <c r="C23" s="8" t="n"/>
      <c r="D23" s="8" t="n"/>
      <c r="E23" s="8" t="n"/>
      <c r="F23" s="8" t="n"/>
      <c r="G23" s="8" t="n"/>
      <c r="H23" s="8" t="n"/>
    </row>
    <row r="24" ht="15.75" customHeight="1" s="33">
      <c r="B24" s="9" t="inlineStr">
        <is>
          <t>Драйвер</t>
        </is>
      </c>
      <c r="C24" s="9" t="inlineStr">
        <is>
          <t>Год 1</t>
        </is>
      </c>
      <c r="D24" s="9" t="inlineStr">
        <is>
          <t>Год 2</t>
        </is>
      </c>
      <c r="E24" s="9" t="inlineStr">
        <is>
          <t>Год 3</t>
        </is>
      </c>
      <c r="F24" s="9" t="inlineStr">
        <is>
          <t>Год 4</t>
        </is>
      </c>
      <c r="G24" s="9" t="inlineStr">
        <is>
          <t>Год 5</t>
        </is>
      </c>
      <c r="H24" s="9" t="inlineStr">
        <is>
          <t>Как считается</t>
        </is>
      </c>
    </row>
    <row r="25" ht="15.75" customHeight="1" s="33">
      <c r="B25" s="10" t="inlineStr">
        <is>
          <t>фикс</t>
        </is>
      </c>
      <c r="C25" s="21" t="n">
        <v>1</v>
      </c>
      <c r="D25" s="21" t="n">
        <v>1</v>
      </c>
      <c r="E25" s="21" t="n">
        <v>1</v>
      </c>
      <c r="F25" s="21" t="n">
        <v>1</v>
      </c>
      <c r="G25" s="21" t="n">
        <v>1</v>
      </c>
      <c r="H25" s="12" t="inlineStr">
        <is>
          <t>Затраты не меняются по годам</t>
        </is>
      </c>
    </row>
    <row r="26" ht="15.75" customHeight="1" s="33">
      <c r="B26" s="10" t="inlineStr">
        <is>
          <t>инфляция</t>
        </is>
      </c>
      <c r="C26" s="21" t="n">
        <v>1</v>
      </c>
      <c r="D26" s="21">
        <f>C26*(1+$C$14)</f>
        <v/>
      </c>
      <c r="E26" s="21">
        <f>D26*(1+$C$14)</f>
        <v/>
      </c>
      <c r="F26" s="21">
        <f>E26*(1+$C$14)</f>
        <v/>
      </c>
      <c r="G26" s="21">
        <f>F26*(1+$C$14)</f>
        <v/>
      </c>
      <c r="H26" s="12" t="inlineStr">
        <is>
          <t>Год N = Год N-1 × (1 + инфляция)</t>
        </is>
      </c>
    </row>
    <row r="27" ht="15.75" customHeight="1" s="33">
      <c r="B27" s="10" t="inlineStr">
        <is>
          <t>ФОТ</t>
        </is>
      </c>
      <c r="C27" s="21" t="n">
        <v>1</v>
      </c>
      <c r="D27" s="21">
        <f>C27*(1+$C$15)</f>
        <v/>
      </c>
      <c r="E27" s="21">
        <f>D27*(1+$C$15)</f>
        <v/>
      </c>
      <c r="F27" s="21">
        <f>E27*(1+$C$15)</f>
        <v/>
      </c>
      <c r="G27" s="21">
        <f>F27*(1+$C$15)</f>
        <v/>
      </c>
      <c r="H27" s="12" t="inlineStr">
        <is>
          <t>Год N = Год N-1 × (1 + рост ФОТ)</t>
        </is>
      </c>
    </row>
    <row r="28" ht="15.75" customHeight="1" s="33">
      <c r="B28" s="10" t="inlineStr">
        <is>
          <t>пользователи</t>
        </is>
      </c>
      <c r="C28" s="21">
        <f>C7/$C$7</f>
        <v/>
      </c>
      <c r="D28" s="21">
        <f>D7/$C$7</f>
        <v/>
      </c>
      <c r="E28" s="21">
        <f>E7/$C$7</f>
        <v/>
      </c>
      <c r="F28" s="21">
        <f>F7/$C$7</f>
        <v/>
      </c>
      <c r="G28" s="21">
        <f>G7/$C$7</f>
        <v/>
      </c>
      <c r="H28" s="12" t="inlineStr">
        <is>
          <t>Пропорционально числу активных пользователей</t>
        </is>
      </c>
    </row>
    <row r="29" ht="15.75" customHeight="1" s="33">
      <c r="B29" s="10" t="inlineStr">
        <is>
          <t>заказы</t>
        </is>
      </c>
      <c r="C29" s="21">
        <f>C8/$C$8</f>
        <v/>
      </c>
      <c r="D29" s="21">
        <f>D8/$C$8</f>
        <v/>
      </c>
      <c r="E29" s="21">
        <f>E8/$C$8</f>
        <v/>
      </c>
      <c r="F29" s="21">
        <f>F8/$C$8</f>
        <v/>
      </c>
      <c r="G29" s="21">
        <f>G8/$C$8</f>
        <v/>
      </c>
      <c r="H29" s="12" t="inlineStr">
        <is>
          <t>Пропорционально числу заказов</t>
        </is>
      </c>
    </row>
    <row r="30" ht="15.75" customHeight="1" s="33">
      <c r="B30" s="10" t="inlineStr">
        <is>
          <t>GMV</t>
        </is>
      </c>
      <c r="C30" s="21">
        <f>C10/$C$10</f>
        <v/>
      </c>
      <c r="D30" s="21">
        <f>D10/$C$10</f>
        <v/>
      </c>
      <c r="E30" s="21">
        <f>E10/$C$10</f>
        <v/>
      </c>
      <c r="F30" s="21">
        <f>F10/$C$10</f>
        <v/>
      </c>
      <c r="G30" s="21">
        <f>G10/$C$10</f>
        <v/>
      </c>
      <c r="H30" s="12" t="inlineStr">
        <is>
          <t>Пропорционально обороту</t>
        </is>
      </c>
    </row>
    <row r="31" ht="15.75" customHeight="1" s="33"/>
    <row r="32" ht="15" customHeight="1" s="33">
      <c r="B32" s="34" t="inlineStr">
        <is>
      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      </is>
      </c>
    </row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32:H33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7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N32" sqref="N32"/>
    </sheetView>
  </sheetViews>
  <sheetFormatPr baseColWidth="10" defaultColWidth="14.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6640625" customWidth="1" style="33" min="13" max="26"/>
  </cols>
  <sheetData>
    <row r="2" ht="18" customHeight="1" s="33">
      <c r="B2" s="1" t="inlineStr">
        <is>
          <t>TCO на 5 лет - Africa Delivery - вариант TCO-A-monolit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6000</v>
      </c>
      <c r="E7" s="22">
        <f t="array" ref="E7">IF($D7="","",$D7*INDEX(Допущения!$C$25:$G$30,MATCH($C7,Допущения!$B$25:$B$30,0),1))</f>
        <v/>
      </c>
      <c r="F7" s="22">
        <f t="array" ref="F7">IF($D7="","",$D7*INDEX(Допущения!$C$25:$G$30,MATCH($C7,Допущения!$B$25:$B$30,0),2))</f>
        <v/>
      </c>
      <c r="G7" s="22">
        <f t="array" ref="G7">IF($D7="","",$D7*INDEX(Допущения!$C$25:$G$30,MATCH($C7,Допущения!$B$25:$B$30,0),3))</f>
        <v/>
      </c>
      <c r="H7" s="22">
        <f t="array" ref="H7">IF($D7="","",$D7*INDEX(Допущения!$C$25:$G$30,MATCH($C7,Допущения!$B$25:$B$30,0),4))</f>
        <v/>
      </c>
      <c r="I7" s="22">
        <f t="array" ref="I7"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2-3 ноды монолита + автомасштаб, managed containers</t>
        </is>
      </c>
    </row>
    <row r="8" ht="26" customHeight="1" s="33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4200</v>
      </c>
      <c r="E8" s="22">
        <f t="array" ref="E8">IF($D8="","",$D8*INDEX(Допущения!$C$25:$G$30,MATCH($C8,Допущения!$B$25:$B$30,0),1))</f>
        <v/>
      </c>
      <c r="F8" s="22">
        <f t="array" ref="F8">IF($D8="","",$D8*INDEX(Допущения!$C$25:$G$30,MATCH($C8,Допущения!$B$25:$B$30,0),2))</f>
        <v/>
      </c>
      <c r="G8" s="22">
        <f t="array" ref="G8">IF($D8="","",$D8*INDEX(Допущения!$C$25:$G$30,MATCH($C8,Допущения!$B$25:$B$30,0),3))</f>
        <v/>
      </c>
      <c r="H8" s="22">
        <f t="array" ref="H8">IF($D8="","",$D8*INDEX(Допущения!$C$25:$G$30,MATCH($C8,Допущения!$B$25:$B$30,0),4))</f>
        <v/>
      </c>
      <c r="I8" s="22">
        <f t="array" ref="I8"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Managed PostgreSQL + read replica (вкл. дашборд CEO в год 1)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1800</v>
      </c>
      <c r="E9" s="22">
        <f t="array" ref="E9">IF($D9="","",$D9*INDEX(Допущения!$C$25:$G$30,MATCH($C9,Допущения!$B$25:$B$30,0),1))</f>
        <v/>
      </c>
      <c r="F9" s="22">
        <f t="array" ref="F9">IF($D9="","",$D9*INDEX(Допущения!$C$25:$G$30,MATCH($C9,Допущения!$B$25:$B$30,0),2))</f>
        <v/>
      </c>
      <c r="G9" s="22">
        <f t="array" ref="G9">IF($D9="","",$D9*INDEX(Допущения!$C$25:$G$30,MATCH($C9,Допущения!$B$25:$B$30,0),3))</f>
        <v/>
      </c>
      <c r="H9" s="22">
        <f t="array" ref="H9">IF($D9="","",$D9*INDEX(Допущения!$C$25:$G$30,MATCH($C9,Допущения!$B$25:$B$30,0),4))</f>
        <v/>
      </c>
      <c r="I9" s="22">
        <f t="array" ref="I9"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S3-совместимое хранилище, фото 5000 SKU,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3600</v>
      </c>
      <c r="E10" s="22">
        <f t="array" ref="E10">IF($D10="","",$D10*INDEX(Допущения!$C$25:$G$30,MATCH($C10,Допущения!$B$25:$B$30,0),1))</f>
        <v/>
      </c>
      <c r="F10" s="22">
        <f t="array" ref="F10">IF($D10="","",$D10*INDEX(Допущения!$C$25:$G$30,MATCH($C10,Допущения!$B$25:$B$30,0),2))</f>
        <v/>
      </c>
      <c r="G10" s="22">
        <f t="array" ref="G10">IF($D10="","",$D10*INDEX(Допущения!$C$25:$G$30,MATCH($C10,Допущения!$B$25:$B$30,0),3))</f>
        <v/>
      </c>
      <c r="H10" s="22">
        <f t="array" ref="H10">IF($D10="","",$D10*INDEX(Допущения!$C$25:$G$30,MATCH($C10,Допущения!$B$25:$B$30,0),4))</f>
        <v/>
      </c>
      <c r="I10" s="22">
        <f t="array" ref="I10"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CDN, картинки WebP, мобильный трафик 3G/4G</t>
        </is>
      </c>
    </row>
    <row r="11">
      <c r="B11" s="10" t="inlineStr">
        <is>
          <t>Очереди / стриминг (Kafka, SQS)</t>
        </is>
      </c>
      <c r="C11" s="16" t="inlineStr">
        <is>
          <t>пользователи</t>
        </is>
      </c>
      <c r="D11" s="17" t="n">
        <v>1200</v>
      </c>
      <c r="E11" s="22">
        <f t="array" ref="E11">IF($D11="","",$D11*INDEX(Допущения!$C$25:$G$30,MATCH($C11,Допущения!$B$25:$B$30,0),1))</f>
        <v/>
      </c>
      <c r="F11" s="22">
        <f t="array" ref="F11">IF($D11="","",$D11*INDEX(Допущения!$C$25:$G$30,MATCH($C11,Допущения!$B$25:$B$30,0),2))</f>
        <v/>
      </c>
      <c r="G11" s="22">
        <f t="array" ref="G11">IF($D11="","",$D11*INDEX(Допущения!$C$25:$G$30,MATCH($C11,Допущения!$B$25:$B$30,0),3))</f>
        <v/>
      </c>
      <c r="H11" s="22">
        <f t="array" ref="H11">IF($D11="","",$D11*INDEX(Допущения!$C$25:$G$30,MATCH($C11,Допущения!$B$25:$B$30,0),4))</f>
        <v/>
      </c>
      <c r="I11" s="22">
        <f t="array" ref="I11"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Managed очередь (SQS/Pub/Sub), без self-hosted Kafka</t>
        </is>
      </c>
    </row>
    <row r="12" ht="26" customHeight="1" s="33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3000</v>
      </c>
      <c r="E12" s="22">
        <f t="array" ref="E12">IF($D12="","",$D12*INDEX(Допущения!$C$25:$G$30,MATCH($C12,Допущения!$B$25:$B$30,0),1))</f>
        <v/>
      </c>
      <c r="F12" s="22">
        <f t="array" ref="F12">IF($D12="","",$D12*INDEX(Допущения!$C$25:$G$30,MATCH($C12,Допущения!$B$25:$B$30,0),2))</f>
        <v/>
      </c>
      <c r="G12" s="22">
        <f t="array" ref="G12">IF($D12="","",$D12*INDEX(Допущения!$C$25:$G$30,MATCH($C12,Допущения!$B$25:$B$30,0),3))</f>
        <v/>
      </c>
      <c r="H12" s="22">
        <f t="array" ref="H12">IF($D12="","",$D12*INDEX(Допущения!$C$25:$G$30,MATCH($C12,Допущения!$B$25:$B$30,0),4))</f>
        <v/>
      </c>
      <c r="I12" s="22">
        <f t="array" ref="I12"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Кросс-AZ реплика БД (RPO 0 внутри региона) + pilot-light DR в eu-west-1: копии снапшотов и WAL, ~$30-50/мес, RTO 4-8 ч (failover-plan Task4)</t>
        </is>
      </c>
    </row>
    <row r="13" ht="26" customHeight="1" s="3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9600</v>
      </c>
      <c r="E13" s="22">
        <f t="array" ref="E13">IF($D13="","",$D13*INDEX(Допущения!$C$25:$G$30,MATCH($C13,Допущения!$B$25:$B$30,0),1))</f>
        <v/>
      </c>
      <c r="F13" s="22">
        <f t="array" ref="F13">IF($D13="","",$D13*INDEX(Допущения!$C$25:$G$30,MATCH($C13,Допущения!$B$25:$B$30,0),2))</f>
        <v/>
      </c>
      <c r="G13" s="22">
        <f t="array" ref="G13">IF($D13="","",$D13*INDEX(Допущения!$C$25:$G$30,MATCH($C13,Допущения!$B$25:$B$30,0),3))</f>
        <v/>
      </c>
      <c r="H13" s="22">
        <f t="array" ref="H13">IF($D13="","",$D13*INDEX(Допущения!$C$25:$G$30,MATCH($C13,Допущения!$B$25:$B$30,0),4))</f>
        <v/>
      </c>
      <c r="I13" s="22">
        <f t="array" ref="I13"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Локальный провайдер в Нигерии под ПДн (артефакт 3, ADR-003)</t>
        </is>
      </c>
    </row>
    <row r="14" ht="26" customHeight="1" s="33">
      <c r="B14" s="10" t="inlineStr">
        <is>
          <t>Аналитическая реплика / витрина (OLAP)</t>
        </is>
      </c>
      <c r="C14" s="16" t="inlineStr">
        <is>
          <t>пользователи</t>
        </is>
      </c>
      <c r="D14" s="17" t="n">
        <v>2400</v>
      </c>
      <c r="E14" s="22" t="n">
        <v>0</v>
      </c>
      <c r="F14" s="22">
        <f t="array" ref="F14">IF($D14="","",$D14*INDEX(Допущения!$C$25:$G$30,MATCH($C14,Допущения!$B$25:$B$30,0),2))</f>
        <v/>
      </c>
      <c r="G14" s="22">
        <f t="array" ref="G14">IF($D14="","",$D14*INDEX(Допущения!$C$25:$G$30,MATCH($C14,Допущения!$B$25:$B$30,0),3))</f>
        <v/>
      </c>
      <c r="H14" s="22">
        <f t="array" ref="H14">IF($D14="","",$D14*INDEX(Допущения!$C$25:$G$30,MATCH($C14,Допущения!$B$25:$B$30,0),4))</f>
        <v/>
      </c>
      <c r="I14" s="22">
        <f t="array" ref="I14">IF($D14="","",$D14*INDEX(Допущения!$C$25:$G$30,MATCH($C14,Допущения!$B$25:$B$30,0),5))</f>
        <v/>
      </c>
      <c r="J14" s="22">
        <f>SUM(E14:I14)</f>
        <v/>
      </c>
      <c r="K14" s="23" t="n"/>
      <c r="L14" s="24" t="inlineStr">
        <is>
          <t>Аналитическая реплика/витрина OLAP(ЛК продавца, B2B-отчеты) со второго года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2400</v>
      </c>
      <c r="E18" s="22">
        <f t="array" ref="E18">IF($D18="","",$D18*INDEX(Допущения!$C$25:$G$30,MATCH($C18,Допущения!$B$25:$B$30,0),1))</f>
        <v/>
      </c>
      <c r="F18" s="22">
        <f t="array" ref="F18">IF($D18="","",$D18*INDEX(Допущения!$C$25:$G$30,MATCH($C18,Допущения!$B$25:$B$30,0),2))</f>
        <v/>
      </c>
      <c r="G18" s="22">
        <f t="array" ref="G18">IF($D18="","",$D18*INDEX(Допущения!$C$25:$G$30,MATCH($C18,Допущения!$B$25:$B$30,0),3))</f>
        <v/>
      </c>
      <c r="H18" s="22">
        <f t="array" ref="H18">IF($D18="","",$D18*INDEX(Допущения!$C$25:$G$30,MATCH($C18,Допущения!$B$25:$B$30,0),4))</f>
        <v/>
      </c>
      <c r="I18" s="22">
        <f t="array" ref="I18"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Grafana Cloud free tier + self-hosted OSS стек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2400</v>
      </c>
      <c r="E19" s="22">
        <f t="array" ref="E19">IF($D19="","",$D19*INDEX(Допущения!$C$25:$G$30,MATCH($C19,Допущения!$B$25:$B$30,0),1))</f>
        <v/>
      </c>
      <c r="F19" s="22">
        <f t="array" ref="F19">IF($D19="","",$D19*INDEX(Допущения!$C$25:$G$30,MATCH($C19,Допущения!$B$25:$B$30,0),2))</f>
        <v/>
      </c>
      <c r="G19" s="22">
        <f t="array" ref="G19">IF($D19="","",$D19*INDEX(Допущения!$C$25:$G$30,MATCH($C19,Допущения!$B$25:$B$30,0),3))</f>
        <v/>
      </c>
      <c r="H19" s="22">
        <f t="array" ref="H19">IF($D19="","",$D19*INDEX(Допущения!$C$25:$G$30,MATCH($C19,Допущения!$B$25:$B$30,0),4))</f>
        <v/>
      </c>
      <c r="I19" s="22">
        <f t="array" ref="I19"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 на 8-10 человек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3600</v>
      </c>
      <c r="E20" s="22">
        <f t="array" ref="E20">IF($D20="","",$D20*INDEX(Допущения!$C$25:$G$30,MATCH($C20,Допущения!$B$25:$B$30,0),1))</f>
        <v/>
      </c>
      <c r="F20" s="22">
        <f t="array" ref="F20">IF($D20="","",$D20*INDEX(Допущения!$C$25:$G$30,MATCH($C20,Допущения!$B$25:$B$30,0),2))</f>
        <v/>
      </c>
      <c r="G20" s="22">
        <f t="array" ref="G20">IF($D20="","",$D20*INDEX(Допущения!$C$25:$G$30,MATCH($C20,Допущения!$B$25:$B$30,0),3))</f>
        <v/>
      </c>
      <c r="H20" s="22">
        <f t="array" ref="H20">IF($D20="","",$D20*INDEX(Допущения!$C$25:$G$30,MATCH($C20,Допущения!$B$25:$B$30,0),4))</f>
        <v/>
      </c>
      <c r="I20" s="22">
        <f t="array" ref="I20"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Cloud WAF + секреты; антифрод - правила в монолите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3000</v>
      </c>
      <c r="E21" s="22">
        <f t="array" ref="E21">IF($D21="","",$D21*INDEX(Допущения!$C$25:$G$30,MATCH($C21,Допущения!$B$25:$B$30,0),1))</f>
        <v/>
      </c>
      <c r="F21" s="22">
        <f t="array" ref="F21">IF($D21="","",$D21*INDEX(Допущения!$C$25:$G$30,MATCH($C21,Допущения!$B$25:$B$30,0),2))</f>
        <v/>
      </c>
      <c r="G21" s="22">
        <f t="array" ref="G21">IF($D21="","",$D21*INDEX(Допущения!$C$25:$G$30,MATCH($C21,Допущения!$B$25:$B$30,0),3))</f>
        <v/>
      </c>
      <c r="H21" s="22">
        <f t="array" ref="H21">IF($D21="","",$D21*INDEX(Допущения!$C$25:$G$30,MATCH($C21,Допущения!$B$25:$B$30,0),4))</f>
        <v/>
      </c>
      <c r="I21" s="22">
        <f t="array" ref="I21"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WhatsApp Business API подписка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2400</v>
      </c>
      <c r="E22" s="22">
        <f t="array" ref="E22">IF($D22="","",$D22*INDEX(Допущения!$C$25:$G$30,MATCH($C22,Допущения!$B$25:$B$30,0),1))</f>
        <v/>
      </c>
      <c r="F22" s="22">
        <f t="array" ref="F22">IF($D22="","",$D22*INDEX(Допущения!$C$25:$G$30,MATCH($C22,Допущения!$B$25:$B$30,0),2))</f>
        <v/>
      </c>
      <c r="G22" s="22">
        <f t="array" ref="G22">IF($D22="","",$D22*INDEX(Допущения!$C$25:$G$30,MATCH($C22,Допущения!$B$25:$B$30,0),3))</f>
        <v/>
      </c>
      <c r="H22" s="22">
        <f t="array" ref="H22">IF($D22="","",$D22*INDEX(Допущения!$C$25:$G$30,MATCH($C22,Допущения!$B$25:$B$30,0),4))</f>
        <v/>
      </c>
      <c r="I22" s="22">
        <f t="array" ref="I22"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Таск-трекер, дизайн, аналитика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 t="array" ref="E23">IF($D23="","",$D23*INDEX(Допущения!$C$25:$G$30,MATCH($C23,Допущения!$B$25:$B$30,0),1))</f>
        <v/>
      </c>
      <c r="F23" s="22">
        <f t="array" ref="F23">IF($D23="","",$D23*INDEX(Допущения!$C$25:$G$30,MATCH($C23,Допущения!$B$25:$B$30,0),2))</f>
        <v/>
      </c>
      <c r="G23" s="22">
        <f t="array" ref="G23">IF($D23="","",$D23*INDEX(Допущения!$C$25:$G$30,MATCH($C23,Допущения!$B$25:$B$30,0),3))</f>
        <v/>
      </c>
      <c r="H23" s="22">
        <f t="array" ref="H23">IF($D23="","",$D23*INDEX(Допущения!$C$25:$G$30,MATCH($C23,Допущения!$B$25:$B$30,0),4))</f>
        <v/>
      </c>
      <c r="I23" s="22">
        <f t="array" ref="I23"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100800</v>
      </c>
      <c r="E27" s="22">
        <f t="array" ref="E27">IF($D27="","",$D27*INDEX(Допущения!$C$25:$G$30,MATCH($C27,Допущения!$B$25:$B$30,0),1))</f>
        <v/>
      </c>
      <c r="F27" s="22">
        <f t="array" ref="F27">IF($D27="","",$D27*INDEX(Допущения!$C$25:$G$30,MATCH($C27,Допущения!$B$25:$B$30,0),2))</f>
        <v/>
      </c>
      <c r="G27" s="22">
        <f t="array" ref="G27">IF($D27="","",$D27*INDEX(Допущения!$C$25:$G$30,MATCH($C27,Допущения!$B$25:$B$30,0),3))</f>
        <v/>
      </c>
      <c r="H27" s="22">
        <f t="array" ref="H27">IF($D27="","",$D27*INDEX(Допущения!$C$25:$G$30,MATCH($C27,Допущения!$B$25:$B$30,0),4))</f>
        <v/>
      </c>
      <c r="I27" s="22">
        <f t="array" ref="I27"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 xml:space="preserve">комиссия ~2,2% 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16000</v>
      </c>
      <c r="E28" s="22">
        <f t="array" ref="E28">IF($D28="","",$D28*INDEX(Допущения!$C$25:$G$30,MATCH($C28,Допущения!$B$25:$B$30,0),1))</f>
        <v/>
      </c>
      <c r="F28" s="22">
        <f t="array" ref="F28">IF($D28="","",$D28*INDEX(Допущения!$C$25:$G$30,MATCH($C28,Допущения!$B$25:$B$30,0),2))</f>
        <v/>
      </c>
      <c r="G28" s="22">
        <f t="array" ref="G28">IF($D28="","",$D28*INDEX(Допущения!$C$25:$G$30,MATCH($C28,Допущения!$B$25:$B$30,0),3))</f>
        <v/>
      </c>
      <c r="H28" s="22">
        <f t="array" ref="H28">IF($D28="","",$D28*INDEX(Допущения!$C$25:$G$30,MATCH($C28,Допущения!$B$25:$B$30,0),4))</f>
        <v/>
      </c>
      <c r="I28" s="22">
        <f t="array" ref="I28"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$0,04 x 2 смс на заказ (заказ + доставка)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6000</v>
      </c>
      <c r="E29" s="22">
        <f t="array" ref="E29">IF($D29="","",$D29*INDEX(Допущения!$C$25:$G$30,MATCH($C29,Допущения!$B$25:$B$30,0),1))</f>
        <v/>
      </c>
      <c r="F29" s="22">
        <f t="array" ref="F29">IF($D29="","",$D29*INDEX(Допущения!$C$25:$G$30,MATCH($C29,Допущения!$B$25:$B$30,0),2))</f>
        <v/>
      </c>
      <c r="G29" s="22">
        <f t="array" ref="G29">IF($D29="","",$D29*INDEX(Допущения!$C$25:$G$30,MATCH($C29,Допущения!$B$25:$B$30,0),3))</f>
        <v/>
      </c>
      <c r="H29" s="22">
        <f t="array" ref="H29">IF($D29="","",$D29*INDEX(Допущения!$C$25:$G$30,MATCH($C29,Допущения!$B$25:$B$30,0),4))</f>
        <v/>
      </c>
      <c r="I29" s="22">
        <f t="array" ref="I29"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WhatsApp conversations для части заказов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100000</v>
      </c>
      <c r="E30" s="22">
        <f t="array" ref="E30">IF($D30="","",$D30*INDEX(Допущения!$C$25:$G$30,MATCH($C30,Допущения!$B$25:$B$30,0),1))</f>
        <v/>
      </c>
      <c r="F30" s="22">
        <f t="array" ref="F30">IF($D30="","",$D30*INDEX(Допущения!$C$25:$G$30,MATCH($C30,Допущения!$B$25:$B$30,0),2))</f>
        <v/>
      </c>
      <c r="G30" s="22">
        <f t="array" ref="G30">IF($D30="","",$D30*INDEX(Допущения!$C$25:$G$30,MATCH($C30,Допущения!$B$25:$B$30,0),3))</f>
        <v/>
      </c>
      <c r="H30" s="22">
        <f t="array" ref="H30">IF($D30="","",$D30*INDEX(Допущения!$C$25:$G$30,MATCH($C30,Допущения!$B$25:$B$30,0),4))</f>
        <v/>
      </c>
      <c r="I30" s="22">
        <f t="array" ref="I30"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$0,5/заказ комиссии Sendbox/Sendy за API и интеграции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 t="array" ref="E31">IF($D31="","",$D31*INDEX(Допущения!$C$25:$G$30,MATCH($C31,Допущения!$B$25:$B$30,0),1))</f>
        <v/>
      </c>
      <c r="F31" s="22">
        <f t="array" ref="F31">IF($D31="","",$D31*INDEX(Допущения!$C$25:$G$30,MATCH($C31,Допущения!$B$25:$B$30,0),2))</f>
        <v/>
      </c>
      <c r="G31" s="22">
        <f t="array" ref="G31">IF($D31="","",$D31*INDEX(Допущения!$C$25:$G$30,MATCH($C31,Допущения!$B$25:$B$30,0),3))</f>
        <v/>
      </c>
      <c r="H31" s="22">
        <f t="array" ref="H31">IF($D31="","",$D31*INDEX(Допущения!$C$25:$G$30,MATCH($C31,Допущения!$B$25:$B$30,0),4))</f>
        <v/>
      </c>
      <c r="I31" s="22">
        <f t="array" ref="I31"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360000</v>
      </c>
      <c r="E35" s="22">
        <f t="array" ref="E35">IF($D35="","",$D35*INDEX(Допущения!$C$25:$G$30,MATCH($C35,Допущения!$B$25:$B$30,0),1))</f>
        <v/>
      </c>
      <c r="F35" s="22">
        <f t="array" ref="F35">IF($D35="","",$D35*INDEX(Допущения!$C$25:$G$30,MATCH($C35,Допущения!$B$25:$B$30,0),2))</f>
        <v/>
      </c>
      <c r="G35" s="22">
        <f t="array" ref="G35">IF($D35="","",$D35*INDEX(Допущения!$C$25:$G$30,MATCH($C35,Допущения!$B$25:$B$30,0),3))</f>
        <v/>
      </c>
      <c r="H35" s="22">
        <f t="array" ref="H35">IF($D35="","",$D35*INDEX(Допущения!$C$25:$G$30,MATCH($C35,Допущения!$B$25:$B$30,0),4))</f>
        <v/>
      </c>
      <c r="I35" s="22">
        <f t="array" ref="I35"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6 контракторов x $60k (артефакт 6: наем заморожен)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36000</v>
      </c>
      <c r="E36" s="22">
        <f t="array" ref="E36">IF($D36="","",$D36*INDEX(Допущения!$C$25:$G$30,MATCH($C36,Допущения!$B$25:$B$30,0),1))</f>
        <v/>
      </c>
      <c r="F36" s="22">
        <f t="array" ref="F36">IF($D36="","",$D36*INDEX(Допущения!$C$25:$G$30,MATCH($C36,Допущения!$B$25:$B$30,0),2))</f>
        <v/>
      </c>
      <c r="G36" s="22">
        <f t="array" ref="G36">IF($D36="","",$D36*INDEX(Допущения!$C$25:$G$30,MATCH($C36,Допущения!$B$25:$B$30,0),3))</f>
        <v/>
      </c>
      <c r="H36" s="22">
        <f t="array" ref="H36">IF($D36="","",$D36*INDEX(Допущения!$C$25:$G$30,MATCH($C36,Допущения!$B$25:$B$30,0),4))</f>
        <v/>
      </c>
      <c r="I36" s="22">
        <f t="array" ref="I36"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0,5 FTE DevOps, монолит не требует выделенного SRE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24000</v>
      </c>
      <c r="E37" s="22">
        <f t="array" ref="E37">IF($D37="","",$D37*INDEX(Допущения!$C$25:$G$30,MATCH($C37,Допущения!$B$25:$B$30,0),1))</f>
        <v/>
      </c>
      <c r="F37" s="22">
        <f t="array" ref="F37">IF($D37="","",$D37*INDEX(Допущения!$C$25:$G$30,MATCH($C37,Допущения!$B$25:$B$30,0),2))</f>
        <v/>
      </c>
      <c r="G37" s="22">
        <f t="array" ref="G37">IF($D37="","",$D37*INDEX(Допущения!$C$25:$G$30,MATCH($C37,Допущения!$B$25:$B$30,0),3))</f>
        <v/>
      </c>
      <c r="H37" s="22">
        <f t="array" ref="H37">IF($D37="","",$D37*INDEX(Допущения!$C$25:$G$30,MATCH($C37,Допущения!$B$25:$B$30,0),4))</f>
        <v/>
      </c>
      <c r="I37" s="22">
        <f t="array" ref="I37"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Надбавки за дежурства внутри команды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120000</v>
      </c>
      <c r="E38" s="22">
        <f t="array" ref="E38">IF($D38="","",$D38*INDEX(Допущения!$C$25:$G$30,MATCH($C38,Допущения!$B$25:$B$30,0),1))</f>
        <v/>
      </c>
      <c r="F38" s="22">
        <f t="array" ref="F38">IF($D38="","",$D38*INDEX(Допущения!$C$25:$G$30,MATCH($C38,Допущения!$B$25:$B$30,0),2))</f>
        <v/>
      </c>
      <c r="G38" s="22">
        <f t="array" ref="G38">IF($D38="","",$D38*INDEX(Допущения!$C$25:$G$30,MATCH($C38,Допущения!$B$25:$B$30,0),3))</f>
        <v/>
      </c>
      <c r="H38" s="22">
        <f t="array" ref="H38">IF($D38="","",$D38*INDEX(Допущения!$C$25:$G$30,MATCH($C38,Допущения!$B$25:$B$30,0),4))</f>
        <v/>
      </c>
      <c r="I38" s="22">
        <f t="array" ref="I38"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Solution Architect + CTO-функция</t>
        </is>
      </c>
    </row>
    <row r="39" ht="15.75" customHeight="1" s="33">
      <c r="B39" s="10" t="n"/>
      <c r="C39" s="16" t="inlineStr">
        <is>
          <t>фикс</t>
        </is>
      </c>
      <c r="D39" s="17" t="n"/>
      <c r="E39" s="22">
        <f t="array" ref="E39">IF($D39="","",$D39*INDEX(Допущения!$C$25:$G$30,MATCH($C39,Допущения!$B$25:$B$30,0),1))</f>
        <v/>
      </c>
      <c r="F39" s="22">
        <f t="array" ref="F39">IF($D39="","",$D39*INDEX(Допущения!$C$25:$G$30,MATCH($C39,Допущения!$B$25:$B$30,0),2))</f>
        <v/>
      </c>
      <c r="G39" s="22">
        <f t="array" ref="G39">IF($D39="","",$D39*INDEX(Допущения!$C$25:$G$30,MATCH($C39,Допущения!$B$25:$B$30,0),3))</f>
        <v/>
      </c>
      <c r="H39" s="22">
        <f t="array" ref="H39">IF($D39="","",$D39*INDEX(Допущения!$C$25:$G$30,MATCH($C39,Допущения!$B$25:$B$30,0),4))</f>
        <v/>
      </c>
      <c r="I39" s="22">
        <f t="array" ref="I39">IF($D39="","",$D39*INDEX(Допущения!$C$25:$G$30,MATCH($C39,Допущения!$B$25:$B$30,0),5))</f>
        <v/>
      </c>
      <c r="J39" s="22">
        <f>SUM(E39:I39)</f>
        <v/>
      </c>
      <c r="K39" s="23" t="n"/>
      <c r="L39" s="24" t="inlineStr">
        <is>
          <t>Своя статья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 t="array" ref="E43">IF($D43="","",$D43*INDEX(Допущения!$C$25:$G$30,MATCH($C43,Допущения!$B$25:$B$30,0),1))</f>
        <v/>
      </c>
      <c r="F43" s="22" t="n">
        <v>0</v>
      </c>
      <c r="G43" s="22" t="n">
        <v>0</v>
      </c>
      <c r="H43" s="22" t="n">
        <v>0</v>
      </c>
      <c r="I43" s="22" t="n">
        <v>0</v>
      </c>
      <c r="J43" s="22">
        <f>SUM(E43:I43)</f>
        <v/>
      </c>
      <c r="K43" s="23" t="n"/>
      <c r="L43" s="24" t="inlineStr">
        <is>
          <t>Комплаенс-аудит NDPR/POPIA/KICA, разовый (год 1)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15000</v>
      </c>
      <c r="E44" s="22">
        <f t="array" ref="E44">IF($D44="","",$D44*INDEX(Допущения!$C$25:$G$30,MATCH($C44,Допущения!$B$25:$B$30,0),1))</f>
        <v/>
      </c>
      <c r="F44" s="22">
        <f t="array" ref="F44">IF($D44="","",$D44*INDEX(Допущения!$C$25:$G$30,MATCH($C44,Допущения!$B$25:$B$30,0),2))</f>
        <v/>
      </c>
      <c r="G44" s="22">
        <f t="array" ref="G44">IF($D44="","",$D44*INDEX(Допущения!$C$25:$G$30,MATCH($C44,Допущения!$B$25:$B$30,0),3))</f>
        <v/>
      </c>
      <c r="H44" s="22">
        <f t="array" ref="H44">IF($D44="","",$D44*INDEX(Допущения!$C$25:$G$30,MATCH($C44,Допущения!$B$25:$B$30,0),4))</f>
        <v/>
      </c>
      <c r="I44" s="22">
        <f t="array" ref="I44"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Пентест ежегодно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20000</v>
      </c>
      <c r="E45" s="22">
        <f t="array" ref="E45">IF($D45="","",$D45*INDEX(Допущения!$C$25:$G$30,MATCH($C45,Допущения!$B$25:$B$30,0),1))</f>
        <v/>
      </c>
      <c r="F45" s="22" t="n">
        <v>0</v>
      </c>
      <c r="G45" s="22" t="n">
        <v>0</v>
      </c>
      <c r="H45" s="22" t="n">
        <v>0</v>
      </c>
      <c r="I45" s="22" t="n">
        <v>0</v>
      </c>
      <c r="J45" s="22">
        <f>SUM(E45:I45)</f>
        <v/>
      </c>
      <c r="K45" s="23" t="n"/>
      <c r="L45" s="24" t="inlineStr">
        <is>
          <t>Интеграции при запуске, разовые (год 1)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ФОТ</t>
        </is>
      </c>
      <c r="D46" s="17" t="n">
        <v>10000</v>
      </c>
      <c r="E46" s="22">
        <f t="array" ref="E46">IF($D46="","",$D46*INDEX(Допущения!$C$25:$G$30,MATCH($C46,Допущения!$B$25:$B$30,0),1))</f>
        <v/>
      </c>
      <c r="F46" s="22">
        <f t="array" ref="F46">IF($D46="","",$D46*INDEX(Допущения!$C$25:$G$30,MATCH($C46,Допущения!$B$25:$B$30,0),2))</f>
        <v/>
      </c>
      <c r="G46" s="22">
        <f t="array" ref="G46">IF($D46="","",$D46*INDEX(Допущения!$C$25:$G$30,MATCH($C46,Допущения!$B$25:$B$30,0),3))</f>
        <v/>
      </c>
      <c r="H46" s="22">
        <f t="array" ref="H46">IF($D46="","",$D46*INDEX(Допущения!$C$25:$G$30,MATCH($C46,Допущения!$B$25:$B$30,0),4))</f>
        <v/>
      </c>
      <c r="I46" s="22">
        <f t="array" ref="I46">IF($D46="","",$D46*INDEX(Допущения!$C$25:$G$30,MATCH($C46,Допущения!$B$25:$B$30,0),5))</f>
        <v/>
      </c>
      <c r="J46" s="22">
        <f>SUM(E46:I46)</f>
        <v/>
      </c>
      <c r="K46" s="23" t="n"/>
      <c r="L46" s="24" t="inlineStr">
        <is>
          <t>Обучение команды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 t="array" ref="E47">IF($D47="","",$D47*INDEX(Допущения!$C$25:$G$30,MATCH($C47,Допущения!$B$25:$B$30,0),1))</f>
        <v/>
      </c>
      <c r="F47" s="22">
        <f t="array" ref="F47">IF($D47="","",$D47*INDEX(Допущения!$C$25:$G$30,MATCH($C47,Допущения!$B$25:$B$30,0),2))</f>
        <v/>
      </c>
      <c r="G47" s="22">
        <f t="array" ref="G47">IF($D47="","",$D47*INDEX(Допущения!$C$25:$G$30,MATCH($C47,Допущения!$B$25:$B$30,0),3))</f>
        <v/>
      </c>
      <c r="H47" s="22">
        <f t="array" ref="H47">IF($D47="","",$D47*INDEX(Допущения!$C$25:$G$30,MATCH($C47,Допущения!$B$25:$B$30,0),4))</f>
        <v/>
      </c>
      <c r="I47" s="22">
        <f t="array" ref="I47"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(1-Допущения!$C$20)*525600*Допущения!$C$19*Допущения!$C$21</f>
        <v/>
      </c>
      <c r="F53" s="30">
        <f>(1-Допущения!$C$20)*525600*Допущения!$C$19*Допущения!$C$21</f>
        <v/>
      </c>
      <c r="G53" s="30">
        <f>(1-Допущения!$C$20)*525600*Допущения!$C$19*Допущения!$C$21</f>
        <v/>
      </c>
      <c r="H53" s="30">
        <f>(1-Допущения!$C$20)*525600*Допущения!$C$19*Допущения!$C$21</f>
        <v/>
      </c>
      <c r="I53" s="30">
        <f>(1-Допущения!$C$20)*525600*Допущения!$C$19*Допущения!$C$21</f>
        <v/>
      </c>
      <c r="J53" s="22">
        <f>SUM(E53:I53)</f>
        <v/>
      </c>
      <c r="L53" s="12" t="inlineStr">
        <is>
          <t>Расчёт: (1 − SLO) × 525 600 мин/год × стоимость минуты × переключатель. 525 600 — число минут в году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35">
        <f>J51</f>
        <v/>
      </c>
      <c r="F59" s="36" t="n"/>
      <c r="L59" s="12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35">
        <f>J54</f>
        <v/>
      </c>
      <c r="F60" s="36" t="n"/>
      <c r="L60" s="12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35">
        <f>J56</f>
        <v/>
      </c>
      <c r="F61" s="36" t="n"/>
      <c r="L61" s="12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35">
        <f>J51/5</f>
        <v/>
      </c>
      <c r="F62" s="36" t="n"/>
      <c r="L62" s="12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35">
        <f>E15/12</f>
        <v/>
      </c>
      <c r="F63" s="36" t="n"/>
      <c r="L63" s="12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49">
        <f>IF(E15/12&lt;=Допущения!$C$18,"В бюджете CFO","ПРЕВЫШЕНИЕ бюджета")</f>
        <v/>
      </c>
      <c r="F64" s="36" t="n"/>
      <c r="L64" s="12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48">
        <f>IFERROR(J51/SUM(Допущения!$C$8:$G$8),0)</f>
        <v/>
      </c>
      <c r="F65" s="36" t="n"/>
      <c r="L65" s="12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48">
        <f>IFERROR(I51/Допущения!$G$7,0)</f>
        <v/>
      </c>
      <c r="F66" s="36" t="n"/>
      <c r="L66" s="12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47">
        <f>IFERROR(J51/SUM(Допущения!$C$10:$G$10),0)</f>
        <v/>
      </c>
      <c r="F67" s="36" t="n"/>
      <c r="L67" s="12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45">
        <f>IFERROR(J15/J51,0)</f>
        <v/>
      </c>
      <c r="F68" s="36" t="n"/>
      <c r="L68" s="12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45">
        <f>IFERROR(J32/J51,0)</f>
        <v/>
      </c>
      <c r="F69" s="36" t="n"/>
      <c r="L69" s="12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45">
        <f>IFERROR(J40/J51,0)</f>
        <v/>
      </c>
      <c r="F70" s="36" t="n"/>
      <c r="L70" s="12" t="inlineStr">
        <is>
          <t>Как правило, крупнейшая статья</t>
        </is>
      </c>
    </row>
    <row r="71" ht="15.75" customHeight="1" s="33"/>
    <row r="72" ht="15.75" customHeight="1" s="33">
      <c r="B72" s="4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37" t="inlineStr">
        <is>
          <t>Вариант A: минимальные TCO и ФОТ, укладывается в $5k/мес. Точка пересмотра: 3M активных пользователей или год 2.</t>
        </is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</row>
    <row r="74" ht="15.75" customHeight="1" s="33">
      <c r="B74" s="40" t="n"/>
      <c r="L74" s="41" t="n"/>
    </row>
    <row r="75" ht="15.75" customHeight="1" s="33">
      <c r="B75" s="42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4" t="n"/>
    </row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9:F69"/>
    <mergeCell ref="E66:F66"/>
    <mergeCell ref="E61:F61"/>
    <mergeCell ref="E60:F60"/>
    <mergeCell ref="E70:F70"/>
    <mergeCell ref="E64:F64"/>
    <mergeCell ref="E65:F65"/>
  </mergeCells>
  <dataValidations count="1"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75"/>
  <sheetViews>
    <sheetView topLeftCell="B2" workbookViewId="0">
      <selection activeCell="L13" sqref="L13"/>
    </sheetView>
  </sheetViews>
  <sheetFormatPr baseColWidth="10" defaultColWidth="14.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6640625" customWidth="1" style="33" min="13" max="26"/>
  </cols>
  <sheetData>
    <row r="2" ht="18" customHeight="1" s="33">
      <c r="B2" s="1" t="inlineStr">
        <is>
          <t>TCO на 5 лет - Africa Delivery - вариант TCO-B-cto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6" customHeight="1" s="33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36000</v>
      </c>
      <c r="E7" s="22">
        <f t="array" ref="E7">IF($D7="","",$D7*INDEX(Допущения!$C$25:$G$30,MATCH($C7,Допущения!$B$25:$B$30,0),1))</f>
        <v/>
      </c>
      <c r="F7" s="22">
        <f t="array" ref="F7">IF($D7="","",$D7*INDEX(Допущения!$C$25:$G$30,MATCH($C7,Допущения!$B$25:$B$30,0),2))</f>
        <v/>
      </c>
      <c r="G7" s="22">
        <f t="array" ref="G7">IF($D7="","",$D7*INDEX(Допущения!$C$25:$G$30,MATCH($C7,Допущения!$B$25:$B$30,0),3))</f>
        <v/>
      </c>
      <c r="H7" s="22">
        <f t="array" ref="H7">IF($D7="","",$D7*INDEX(Допущения!$C$25:$G$30,MATCH($C7,Допущения!$B$25:$B$30,0),4))</f>
        <v/>
      </c>
      <c r="I7" s="22">
        <f t="array" ref="I7"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3 кластера K8s (2 региона + on-prem), 9-12 нод (артефакт 5)</t>
        </is>
      </c>
    </row>
    <row r="8" ht="26" customHeight="1" s="33">
      <c r="B8" s="10" t="inlineStr">
        <is>
          <t>Управляемые БД (PostgreSQL, реплики)</t>
        </is>
      </c>
      <c r="C8" s="16" t="inlineStr">
        <is>
          <t>фикс</t>
        </is>
      </c>
      <c r="D8" s="17" t="n">
        <v>46000</v>
      </c>
      <c r="E8" s="22">
        <f t="array" ref="E8">IF($D8="","",$D8*INDEX(Допущения!$C$25:$G$30,MATCH($C8,Допущения!$B$25:$B$30,0),1))</f>
        <v/>
      </c>
      <c r="F8" s="22">
        <f t="array" ref="F8">IF($D8="","",$D8*INDEX(Допущения!$C$25:$G$30,MATCH($C8,Допущения!$B$25:$B$30,0),2))</f>
        <v/>
      </c>
      <c r="G8" s="22">
        <f t="array" ref="G8">IF($D8="","",$D8*INDEX(Допущения!$C$25:$G$30,MATCH($C8,Допущения!$B$25:$B$30,0),3))</f>
        <v/>
      </c>
      <c r="H8" s="22">
        <f t="array" ref="H8">IF($D8="","",$D8*INDEX(Допущения!$C$25:$G$30,MATCH($C8,Допущения!$B$25:$B$30,0),4))</f>
        <v/>
      </c>
      <c r="I8" s="22">
        <f t="array" ref="I8"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Oracle SE2 лицензии+поддержка ~$40k + PostgreSQL для периферии (артефакт 5)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6000</v>
      </c>
      <c r="E9" s="22">
        <f t="array" ref="E9">IF($D9="","",$D9*INDEX(Допущения!$C$25:$G$30,MATCH($C9,Допущения!$B$25:$B$30,0),1))</f>
        <v/>
      </c>
      <c r="F9" s="22">
        <f t="array" ref="F9">IF($D9="","",$D9*INDEX(Допущения!$C$25:$G$30,MATCH($C9,Допущения!$B$25:$B$30,0),2))</f>
        <v/>
      </c>
      <c r="G9" s="22">
        <f t="array" ref="G9">IF($D9="","",$D9*INDEX(Допущения!$C$25:$G$30,MATCH($C9,Допущения!$B$25:$B$30,0),3))</f>
        <v/>
      </c>
      <c r="H9" s="22">
        <f t="array" ref="H9">IF($D9="","",$D9*INDEX(Допущения!$C$25:$G$30,MATCH($C9,Допущения!$B$25:$B$30,0),4))</f>
        <v/>
      </c>
      <c r="I9" s="22">
        <f t="array" ref="I9"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Хранилище + бэкапы в 2 регионах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15000</v>
      </c>
      <c r="E10" s="22">
        <f t="array" ref="E10">IF($D10="","",$D10*INDEX(Допущения!$C$25:$G$30,MATCH($C10,Допущения!$B$25:$B$30,0),1))</f>
        <v/>
      </c>
      <c r="F10" s="22">
        <f t="array" ref="F10">IF($D10="","",$D10*INDEX(Допущения!$C$25:$G$30,MATCH($C10,Допущения!$B$25:$B$30,0),2))</f>
        <v/>
      </c>
      <c r="G10" s="22">
        <f t="array" ref="G10">IF($D10="","",$D10*INDEX(Допущения!$C$25:$G$30,MATCH($C10,Допущения!$B$25:$B$30,0),3))</f>
        <v/>
      </c>
      <c r="H10" s="22">
        <f t="array" ref="H10">IF($D10="","",$D10*INDEX(Допущения!$C$25:$G$30,MATCH($C10,Допущения!$B$25:$B$30,0),4))</f>
        <v/>
      </c>
      <c r="I10" s="22">
        <f t="array" ref="I10"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CDN и трафик</t>
        </is>
      </c>
    </row>
    <row r="11">
      <c r="B11" s="10" t="inlineStr">
        <is>
          <t>Очереди / стриминг (Kafka, SQS)</t>
        </is>
      </c>
      <c r="C11" s="16" t="inlineStr">
        <is>
          <t>пользователи</t>
        </is>
      </c>
      <c r="D11" s="17" t="n">
        <v>9600</v>
      </c>
      <c r="E11" s="22">
        <f t="array" ref="E11">IF($D11="","",$D11*INDEX(Допущения!$C$25:$G$30,MATCH($C11,Допущения!$B$25:$B$30,0),1))</f>
        <v/>
      </c>
      <c r="F11" s="22">
        <f t="array" ref="F11">IF($D11="","",$D11*INDEX(Допущения!$C$25:$G$30,MATCH($C11,Допущения!$B$25:$B$30,0),2))</f>
        <v/>
      </c>
      <c r="G11" s="22">
        <f t="array" ref="G11">IF($D11="","",$D11*INDEX(Допущения!$C$25:$G$30,MATCH($C11,Допущения!$B$25:$B$30,0),3))</f>
        <v/>
      </c>
      <c r="H11" s="22">
        <f t="array" ref="H11">IF($D11="","",$D11*INDEX(Допущения!$C$25:$G$30,MATCH($C11,Допущения!$B$25:$B$30,0),4))</f>
        <v/>
      </c>
      <c r="I11" s="22">
        <f t="array" ref="I11"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Self-hosted Kafka кластер (3 брокера)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36000</v>
      </c>
      <c r="E12" s="22">
        <f t="array" ref="E12">IF($D12="","",$D12*INDEX(Допущения!$C$25:$G$30,MATCH($C12,Допущения!$B$25:$B$30,0),1))</f>
        <v/>
      </c>
      <c r="F12" s="22">
        <f t="array" ref="F12">IF($D12="","",$D12*INDEX(Допущения!$C$25:$G$30,MATCH($C12,Допущения!$B$25:$B$30,0),2))</f>
        <v/>
      </c>
      <c r="G12" s="22">
        <f t="array" ref="G12">IF($D12="","",$D12*INDEX(Допущения!$C$25:$G$30,MATCH($C12,Допущения!$B$25:$B$30,0),3))</f>
        <v/>
      </c>
      <c r="H12" s="22">
        <f t="array" ref="H12">IF($D12="","",$D12*INDEX(Допущения!$C$25:$G$30,MATCH($C12,Допущения!$B$25:$B$30,0),4))</f>
        <v/>
      </c>
      <c r="I12" s="22">
        <f t="array" ref="I12"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Active-active второй регион, RPO=0 (артефакт 5)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18000</v>
      </c>
      <c r="E13" s="22">
        <f t="array" ref="E13">IF($D13="","",$D13*INDEX(Допущения!$C$25:$G$30,MATCH($C13,Допущения!$B$25:$B$30,0),1))</f>
        <v/>
      </c>
      <c r="F13" s="22">
        <f t="array" ref="F13">IF($D13="","",$D13*INDEX(Допущения!$C$25:$G$30,MATCH($C13,Допущения!$B$25:$B$30,0),2))</f>
        <v/>
      </c>
      <c r="G13" s="22">
        <f t="array" ref="G13">IF($D13="","",$D13*INDEX(Допущения!$C$25:$G$30,MATCH($C13,Допущения!$B$25:$B$30,0),3))</f>
        <v/>
      </c>
      <c r="H13" s="22">
        <f t="array" ref="H13">IF($D13="","",$D13*INDEX(Допущения!$C$25:$G$30,MATCH($C13,Допущения!$B$25:$B$30,0),4))</f>
        <v/>
      </c>
      <c r="I13" s="22">
        <f t="array" ref="I13"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On-prem кластер в Нигерии под ПДн (артефакт 5)</t>
        </is>
      </c>
    </row>
    <row r="14" ht="26" customHeight="1" s="33">
      <c r="B14" s="10" t="inlineStr">
        <is>
          <t>Аналитическая реплика / витрина (OLAP)</t>
        </is>
      </c>
      <c r="C14" s="16" t="inlineStr">
        <is>
          <t>пользователи</t>
        </is>
      </c>
      <c r="D14" s="17" t="n">
        <v>9600</v>
      </c>
      <c r="E14" s="22" t="n">
        <v>0</v>
      </c>
      <c r="F14" s="22">
        <f t="array" ref="F14">IF($D14="","",$D14*INDEX(Допущения!$C$25:$G$30,MATCH($C14,Допущения!$B$25:$B$30,0),2))</f>
        <v/>
      </c>
      <c r="G14" s="22">
        <f t="array" ref="G14">IF($D14="","",$D14*INDEX(Допущения!$C$25:$G$30,MATCH($C14,Допущения!$B$25:$B$30,0),3))</f>
        <v/>
      </c>
      <c r="H14" s="22">
        <f t="array" ref="H14">IF($D14="","",$D14*INDEX(Допущения!$C$25:$G$30,MATCH($C14,Допущения!$B$25:$B$30,0),4))</f>
        <v/>
      </c>
      <c r="I14" s="22">
        <f t="array" ref="I14">IF($D14="","",$D14*INDEX(Допущения!$C$25:$G$30,MATCH($C14,Допущения!$B$25:$B$30,0),5))</f>
        <v/>
      </c>
      <c r="J14" s="22">
        <f>SUM(E14:I14)</f>
        <v/>
      </c>
      <c r="K14" s="23" t="n"/>
      <c r="L14" s="24" t="inlineStr">
        <is>
          <t>Аналитический стек (ClickHouse/Druid, CDC из Kafka) - с года 2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6" customHeight="1" s="33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6000</v>
      </c>
      <c r="E18" s="22">
        <f t="array" ref="E18">IF($D18="","",$D18*INDEX(Допущения!$C$25:$G$30,MATCH($C18,Допущения!$B$25:$B$30,0),1))</f>
        <v/>
      </c>
      <c r="F18" s="22">
        <f t="array" ref="F18">IF($D18="","",$D18*INDEX(Допущения!$C$25:$G$30,MATCH($C18,Допущения!$B$25:$B$30,0),2))</f>
        <v/>
      </c>
      <c r="G18" s="22">
        <f t="array" ref="G18">IF($D18="","",$D18*INDEX(Допущения!$C$25:$G$30,MATCH($C18,Допущения!$B$25:$B$30,0),3))</f>
        <v/>
      </c>
      <c r="H18" s="22">
        <f t="array" ref="H18">IF($D18="","",$D18*INDEX(Допущения!$C$25:$G$30,MATCH($C18,Допущения!$B$25:$B$30,0),4))</f>
        <v/>
      </c>
      <c r="I18" s="22">
        <f t="array" ref="I18"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Self-hosted observability стек: Prometheus/Grafana/Jaeger/Loki - compute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3600</v>
      </c>
      <c r="E19" s="22">
        <f t="array" ref="E19">IF($D19="","",$D19*INDEX(Допущения!$C$25:$G$30,MATCH($C19,Допущения!$B$25:$B$30,0),1))</f>
        <v/>
      </c>
      <c r="F19" s="22">
        <f t="array" ref="F19">IF($D19="","",$D19*INDEX(Допущения!$C$25:$G$30,MATCH($C19,Допущения!$B$25:$B$30,0),2))</f>
        <v/>
      </c>
      <c r="G19" s="22">
        <f t="array" ref="G19">IF($D19="","",$D19*INDEX(Допущения!$C$25:$G$30,MATCH($C19,Допущения!$B$25:$B$30,0),3))</f>
        <v/>
      </c>
      <c r="H19" s="22">
        <f t="array" ref="H19">IF($D19="","",$D19*INDEX(Допущения!$C$25:$G$30,MATCH($C19,Допущения!$B$25:$B$30,0),4))</f>
        <v/>
      </c>
      <c r="I19" s="22">
        <f t="array" ref="I19"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+ ArgoCD self-hosted инфраструктура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12000</v>
      </c>
      <c r="E20" s="22">
        <f t="array" ref="E20">IF($D20="","",$D20*INDEX(Допущения!$C$25:$G$30,MATCH($C20,Допущения!$B$25:$B$30,0),1))</f>
        <v/>
      </c>
      <c r="F20" s="22">
        <f t="array" ref="F20">IF($D20="","",$D20*INDEX(Допущения!$C$25:$G$30,MATCH($C20,Допущения!$B$25:$B$30,0),2))</f>
        <v/>
      </c>
      <c r="G20" s="22">
        <f t="array" ref="G20">IF($D20="","",$D20*INDEX(Допущения!$C$25:$G$30,MATCH($C20,Допущения!$B$25:$B$30,0),3))</f>
        <v/>
      </c>
      <c r="H20" s="22">
        <f t="array" ref="H20">IF($D20="","",$D20*INDEX(Допущения!$C$25:$G$30,MATCH($C20,Допущения!$B$25:$B$30,0),4))</f>
        <v/>
      </c>
      <c r="I20" s="22">
        <f t="array" ref="I20"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секреты, mTLS Istio операционные расходы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3000</v>
      </c>
      <c r="E21" s="22">
        <f t="array" ref="E21">IF($D21="","",$D21*INDEX(Допущения!$C$25:$G$30,MATCH($C21,Допущения!$B$25:$B$30,0),1))</f>
        <v/>
      </c>
      <c r="F21" s="22">
        <f t="array" ref="F21">IF($D21="","",$D21*INDEX(Допущения!$C$25:$G$30,MATCH($C21,Допущения!$B$25:$B$30,0),2))</f>
        <v/>
      </c>
      <c r="G21" s="22">
        <f t="array" ref="G21">IF($D21="","",$D21*INDEX(Допущения!$C$25:$G$30,MATCH($C21,Допущения!$B$25:$B$30,0),3))</f>
        <v/>
      </c>
      <c r="H21" s="22">
        <f t="array" ref="H21">IF($D21="","",$D21*INDEX(Допущения!$C$25:$G$30,MATCH($C21,Допущения!$B$25:$B$30,0),4))</f>
        <v/>
      </c>
      <c r="I21" s="22">
        <f t="array" ref="I21"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WhatsApp Business API подписка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2400</v>
      </c>
      <c r="E22" s="22">
        <f t="array" ref="E22">IF($D22="","",$D22*INDEX(Допущения!$C$25:$G$30,MATCH($C22,Допущения!$B$25:$B$30,0),1))</f>
        <v/>
      </c>
      <c r="F22" s="22">
        <f t="array" ref="F22">IF($D22="","",$D22*INDEX(Допущения!$C$25:$G$30,MATCH($C22,Допущения!$B$25:$B$30,0),2))</f>
        <v/>
      </c>
      <c r="G22" s="22">
        <f t="array" ref="G22">IF($D22="","",$D22*INDEX(Допущения!$C$25:$G$30,MATCH($C22,Допущения!$B$25:$B$30,0),3))</f>
        <v/>
      </c>
      <c r="H22" s="22">
        <f t="array" ref="H22">IF($D22="","",$D22*INDEX(Допущения!$C$25:$G$30,MATCH($C22,Допущения!$B$25:$B$30,0),4))</f>
        <v/>
      </c>
      <c r="I22" s="22">
        <f t="array" ref="I22"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Прочее ПО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 t="array" ref="E23">IF($D23="","",$D23*INDEX(Допущения!$C$25:$G$30,MATCH($C23,Допущения!$B$25:$B$30,0),1))</f>
        <v/>
      </c>
      <c r="F23" s="22">
        <f t="array" ref="F23">IF($D23="","",$D23*INDEX(Допущения!$C$25:$G$30,MATCH($C23,Допущения!$B$25:$B$30,0),2))</f>
        <v/>
      </c>
      <c r="G23" s="22">
        <f t="array" ref="G23">IF($D23="","",$D23*INDEX(Допущения!$C$25:$G$30,MATCH($C23,Допущения!$B$25:$B$30,0),3))</f>
        <v/>
      </c>
      <c r="H23" s="22">
        <f t="array" ref="H23">IF($D23="","",$D23*INDEX(Допущения!$C$25:$G$30,MATCH($C23,Допущения!$B$25:$B$30,0),4))</f>
        <v/>
      </c>
      <c r="I23" s="22">
        <f t="array" ref="I23"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100800</v>
      </c>
      <c r="E27" s="22">
        <f t="array" ref="E27">IF($D27="","",$D27*INDEX(Допущения!$C$25:$G$30,MATCH($C27,Допущения!$B$25:$B$30,0),1))</f>
        <v/>
      </c>
      <c r="F27" s="22">
        <f t="array" ref="F27">IF($D27="","",$D27*INDEX(Допущения!$C$25:$G$30,MATCH($C27,Допущения!$B$25:$B$30,0),2))</f>
        <v/>
      </c>
      <c r="G27" s="22">
        <f t="array" ref="G27">IF($D27="","",$D27*INDEX(Допущения!$C$25:$G$30,MATCH($C27,Допущения!$B$25:$B$30,0),3))</f>
        <v/>
      </c>
      <c r="H27" s="22">
        <f t="array" ref="H27">IF($D27="","",$D27*INDEX(Допущения!$C$25:$G$30,MATCH($C27,Допущения!$B$25:$B$30,0),4))</f>
        <v/>
      </c>
      <c r="I27" s="22">
        <f t="array" ref="I27"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Идентично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16000</v>
      </c>
      <c r="E28" s="22">
        <f t="array" ref="E28">IF($D28="","",$D28*INDEX(Допущения!$C$25:$G$30,MATCH($C28,Допущения!$B$25:$B$30,0),1))</f>
        <v/>
      </c>
      <c r="F28" s="22">
        <f t="array" ref="F28">IF($D28="","",$D28*INDEX(Допущения!$C$25:$G$30,MATCH($C28,Допущения!$B$25:$B$30,0),2))</f>
        <v/>
      </c>
      <c r="G28" s="22">
        <f t="array" ref="G28">IF($D28="","",$D28*INDEX(Допущения!$C$25:$G$30,MATCH($C28,Допущения!$B$25:$B$30,0),3))</f>
        <v/>
      </c>
      <c r="H28" s="22">
        <f t="array" ref="H28">IF($D28="","",$D28*INDEX(Допущения!$C$25:$G$30,MATCH($C28,Допущения!$B$25:$B$30,0),4))</f>
        <v/>
      </c>
      <c r="I28" s="22">
        <f t="array" ref="I28"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Идентично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6000</v>
      </c>
      <c r="E29" s="22">
        <f t="array" ref="E29">IF($D29="","",$D29*INDEX(Допущения!$C$25:$G$30,MATCH($C29,Допущения!$B$25:$B$30,0),1))</f>
        <v/>
      </c>
      <c r="F29" s="22">
        <f t="array" ref="F29">IF($D29="","",$D29*INDEX(Допущения!$C$25:$G$30,MATCH($C29,Допущения!$B$25:$B$30,0),2))</f>
        <v/>
      </c>
      <c r="G29" s="22">
        <f t="array" ref="G29">IF($D29="","",$D29*INDEX(Допущения!$C$25:$G$30,MATCH($C29,Допущения!$B$25:$B$30,0),3))</f>
        <v/>
      </c>
      <c r="H29" s="22">
        <f t="array" ref="H29">IF($D29="","",$D29*INDEX(Допущения!$C$25:$G$30,MATCH($C29,Допущения!$B$25:$B$30,0),4))</f>
        <v/>
      </c>
      <c r="I29" s="22">
        <f t="array" ref="I29"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Идентично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100000</v>
      </c>
      <c r="E30" s="22">
        <f t="array" ref="E30">IF($D30="","",$D30*INDEX(Допущения!$C$25:$G$30,MATCH($C30,Допущения!$B$25:$B$30,0),1))</f>
        <v/>
      </c>
      <c r="F30" s="22">
        <f t="array" ref="F30">IF($D30="","",$D30*INDEX(Допущения!$C$25:$G$30,MATCH($C30,Допущения!$B$25:$B$30,0),2))</f>
        <v/>
      </c>
      <c r="G30" s="22">
        <f t="array" ref="G30">IF($D30="","",$D30*INDEX(Допущения!$C$25:$G$30,MATCH($C30,Допущения!$B$25:$B$30,0),3))</f>
        <v/>
      </c>
      <c r="H30" s="22">
        <f t="array" ref="H30">IF($D30="","",$D30*INDEX(Допущения!$C$25:$G$30,MATCH($C30,Допущения!$B$25:$B$30,0),4))</f>
        <v/>
      </c>
      <c r="I30" s="22">
        <f t="array" ref="I30"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Идентично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 t="array" ref="E31">IF($D31="","",$D31*INDEX(Допущения!$C$25:$G$30,MATCH($C31,Допущения!$B$25:$B$30,0),1))</f>
        <v/>
      </c>
      <c r="F31" s="22">
        <f t="array" ref="F31">IF($D31="","",$D31*INDEX(Допущения!$C$25:$G$30,MATCH($C31,Допущения!$B$25:$B$30,0),2))</f>
        <v/>
      </c>
      <c r="G31" s="22">
        <f t="array" ref="G31">IF($D31="","",$D31*INDEX(Допущения!$C$25:$G$30,MATCH($C31,Допущения!$B$25:$B$30,0),3))</f>
        <v/>
      </c>
      <c r="H31" s="22">
        <f t="array" ref="H31">IF($D31="","",$D31*INDEX(Допущения!$C$25:$G$30,MATCH($C31,Допущения!$B$25:$B$30,0),4))</f>
        <v/>
      </c>
      <c r="I31" s="22">
        <f t="array" ref="I31"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840000</v>
      </c>
      <c r="E35" s="22">
        <f t="array" ref="E35">IF($D35="","",$D35*INDEX(Допущения!$C$25:$G$30,MATCH($C35,Допущения!$B$25:$B$30,0),1))</f>
        <v/>
      </c>
      <c r="F35" s="22">
        <f t="array" ref="F35">IF($D35="","",$D35*INDEX(Допущения!$C$25:$G$30,MATCH($C35,Допущения!$B$25:$B$30,0),2))</f>
        <v/>
      </c>
      <c r="G35" s="22">
        <f t="array" ref="G35">IF($D35="","",$D35*INDEX(Допущения!$C$25:$G$30,MATCH($C35,Допущения!$B$25:$B$30,0),3))</f>
        <v/>
      </c>
      <c r="H35" s="22">
        <f t="array" ref="H35">IF($D35="","",$D35*INDEX(Допущения!$C$25:$G$30,MATCH($C35,Допущения!$B$25:$B$30,0),4))</f>
        <v/>
      </c>
      <c r="I35" s="22">
        <f t="array" ref="I35"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12 разработчиков x $70k - наем вопреки заморозке (артефакты 5 vs 6)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240000</v>
      </c>
      <c r="E36" s="22">
        <f t="array" ref="E36">IF($D36="","",$D36*INDEX(Допущения!$C$25:$G$30,MATCH($C36,Допущения!$B$25:$B$30,0),1))</f>
        <v/>
      </c>
      <c r="F36" s="22">
        <f t="array" ref="F36">IF($D36="","",$D36*INDEX(Допущения!$C$25:$G$30,MATCH($C36,Допущения!$B$25:$B$30,0),2))</f>
        <v/>
      </c>
      <c r="G36" s="22">
        <f t="array" ref="G36">IF($D36="","",$D36*INDEX(Допущения!$C$25:$G$30,MATCH($C36,Допущения!$B$25:$B$30,0),3))</f>
        <v/>
      </c>
      <c r="H36" s="22">
        <f t="array" ref="H36">IF($D36="","",$D36*INDEX(Допущения!$C$25:$G$30,MATCH($C36,Допущения!$B$25:$B$30,0),4))</f>
        <v/>
      </c>
      <c r="I36" s="22">
        <f t="array" ref="I36"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3 SRE x $80k: 3 кластера, Istio, Kafka, GitOps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96000</v>
      </c>
      <c r="E37" s="22">
        <f t="array" ref="E37">IF($D37="","",$D37*INDEX(Допущения!$C$25:$G$30,MATCH($C37,Допущения!$B$25:$B$30,0),1))</f>
        <v/>
      </c>
      <c r="F37" s="22">
        <f t="array" ref="F37">IF($D37="","",$D37*INDEX(Допущения!$C$25:$G$30,MATCH($C37,Допущения!$B$25:$B$30,0),2))</f>
        <v/>
      </c>
      <c r="G37" s="22">
        <f t="array" ref="G37">IF($D37="","",$D37*INDEX(Допущения!$C$25:$G$30,MATCH($C37,Допущения!$B$25:$B$30,0),3))</f>
        <v/>
      </c>
      <c r="H37" s="22">
        <f t="array" ref="H37">IF($D37="","",$D37*INDEX(Допущения!$C$25:$G$30,MATCH($C37,Допущения!$B$25:$B$30,0),4))</f>
        <v/>
      </c>
      <c r="I37" s="22">
        <f t="array" ref="I37"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Дежурства 24/7 под 99,99%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 t="array" ref="E38">IF($D38="","",$D38*INDEX(Допущения!$C$25:$G$30,MATCH($C38,Допущения!$B$25:$B$30,0),1))</f>
        <v/>
      </c>
      <c r="F38" s="22">
        <f t="array" ref="F38">IF($D38="","",$D38*INDEX(Допущения!$C$25:$G$30,MATCH($C38,Допущения!$B$25:$B$30,0),2))</f>
        <v/>
      </c>
      <c r="G38" s="22">
        <f t="array" ref="G38">IF($D38="","",$D38*INDEX(Допущения!$C$25:$G$30,MATCH($C38,Допущения!$B$25:$B$30,0),3))</f>
        <v/>
      </c>
      <c r="H38" s="22">
        <f t="array" ref="H38">IF($D38="","",$D38*INDEX(Допущения!$C$25:$G$30,MATCH($C38,Допущения!$B$25:$B$30,0),4))</f>
        <v/>
      </c>
      <c r="I38" s="22">
        <f t="array" ref="I38"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SA + CTO-функция + PM</t>
        </is>
      </c>
    </row>
    <row r="39" ht="15.75" customHeight="1" s="33">
      <c r="B39" s="10" t="n"/>
      <c r="C39" s="16" t="inlineStr">
        <is>
          <t>фикс</t>
        </is>
      </c>
      <c r="D39" s="17" t="n"/>
      <c r="E39" s="22">
        <f t="array" ref="E39">IF($D39="","",$D39*INDEX(Допущения!$C$25:$G$30,MATCH($C39,Допущения!$B$25:$B$30,0),1))</f>
        <v/>
      </c>
      <c r="F39" s="22">
        <f t="array" ref="F39">IF($D39="","",$D39*INDEX(Допущения!$C$25:$G$30,MATCH($C39,Допущения!$B$25:$B$30,0),2))</f>
        <v/>
      </c>
      <c r="G39" s="22">
        <f t="array" ref="G39">IF($D39="","",$D39*INDEX(Допущения!$C$25:$G$30,MATCH($C39,Допущения!$B$25:$B$30,0),3))</f>
        <v/>
      </c>
      <c r="H39" s="22">
        <f t="array" ref="H39">IF($D39="","",$D39*INDEX(Допущения!$C$25:$G$30,MATCH($C39,Допущения!$B$25:$B$30,0),4))</f>
        <v/>
      </c>
      <c r="I39" s="22">
        <f t="array" ref="I39">IF($D39="","",$D39*INDEX(Допущения!$C$25:$G$30,MATCH($C39,Допущения!$B$25:$B$30,0),5))</f>
        <v/>
      </c>
      <c r="J39" s="22">
        <f>SUM(E39:I39)</f>
        <v/>
      </c>
      <c r="K39" s="23" t="n"/>
      <c r="L39" s="24" t="inlineStr">
        <is>
          <t>Своя статья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 t="array" ref="E43">IF($D43="","",$D43*INDEX(Допущения!$C$25:$G$30,MATCH($C43,Допущения!$B$25:$B$30,0),1))</f>
        <v/>
      </c>
      <c r="F43" s="22" t="n">
        <v>0</v>
      </c>
      <c r="G43" s="22" t="n">
        <v>0</v>
      </c>
      <c r="H43" s="22" t="n">
        <v>0</v>
      </c>
      <c r="I43" s="22" t="n">
        <v>0</v>
      </c>
      <c r="J43" s="22">
        <f>SUM(E43:I43)</f>
        <v/>
      </c>
      <c r="K43" s="23" t="n"/>
      <c r="L43" s="24" t="inlineStr">
        <is>
          <t>Комплаенс-аудит, разовый (год 1)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25000</v>
      </c>
      <c r="E44" s="22">
        <f t="array" ref="E44">IF($D44="","",$D44*INDEX(Допущения!$C$25:$G$30,MATCH($C44,Допущения!$B$25:$B$30,0),1))</f>
        <v/>
      </c>
      <c r="F44" s="22">
        <f t="array" ref="F44">IF($D44="","",$D44*INDEX(Допущения!$C$25:$G$30,MATCH($C44,Допущения!$B$25:$B$30,0),2))</f>
        <v/>
      </c>
      <c r="G44" s="22">
        <f t="array" ref="G44">IF($D44="","",$D44*INDEX(Допущения!$C$25:$G$30,MATCH($C44,Допущения!$B$25:$B$30,0),3))</f>
        <v/>
      </c>
      <c r="H44" s="22">
        <f t="array" ref="H44">IF($D44="","",$D44*INDEX(Допущения!$C$25:$G$30,MATCH($C44,Допущения!$B$25:$B$30,0),4))</f>
        <v/>
      </c>
      <c r="I44" s="22">
        <f t="array" ref="I44"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Пентест + аудит 40-50 сервисов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60000</v>
      </c>
      <c r="E45" s="22">
        <f t="array" ref="E45">IF($D45="","",$D45*INDEX(Допущения!$C$25:$G$30,MATCH($C45,Допущения!$B$25:$B$30,0),1))</f>
        <v/>
      </c>
      <c r="F45" s="22" t="n">
        <v>0</v>
      </c>
      <c r="G45" s="22" t="n">
        <v>0</v>
      </c>
      <c r="H45" s="22" t="n">
        <v>0</v>
      </c>
      <c r="I45" s="22" t="n">
        <v>0</v>
      </c>
      <c r="J45" s="22">
        <f>SUM(E45:I45)</f>
        <v/>
      </c>
      <c r="K45" s="23" t="n"/>
      <c r="L45" s="24" t="inlineStr">
        <is>
          <t>Интеграции + построение платформы, разовые (год 1)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ФОТ</t>
        </is>
      </c>
      <c r="D46" s="17" t="n">
        <v>60000</v>
      </c>
      <c r="E46" s="22">
        <f t="array" ref="E46">IF($D46="","",$D46*INDEX(Допущения!$C$25:$G$30,MATCH($C46,Допущения!$B$25:$B$30,0),1))</f>
        <v/>
      </c>
      <c r="F46" s="22">
        <f t="array" ref="F46">IF($D46="","",$D46*INDEX(Допущения!$C$25:$G$30,MATCH($C46,Допущения!$B$25:$B$30,0),2))</f>
        <v/>
      </c>
      <c r="G46" s="22">
        <f t="array" ref="G46">IF($D46="","",$D46*INDEX(Допущения!$C$25:$G$30,MATCH($C46,Допущения!$B$25:$B$30,0),3))</f>
        <v/>
      </c>
      <c r="H46" s="22">
        <f t="array" ref="H46">IF($D46="","",$D46*INDEX(Допущения!$C$25:$G$30,MATCH($C46,Допущения!$B$25:$B$30,0),4))</f>
        <v/>
      </c>
      <c r="I46" s="22">
        <f t="array" ref="I46">IF($D46="","",$D46*INDEX(Допущения!$C$25:$G$30,MATCH($C46,Допущения!$B$25:$B$30,0),5))</f>
        <v/>
      </c>
      <c r="J46" s="22">
        <f>SUM(E46:I46)</f>
        <v/>
      </c>
      <c r="K46" s="23" t="n"/>
      <c r="L46" s="24" t="inlineStr">
        <is>
          <t>Найм и онбординг 12+ человек на рынке с дефицитом Go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 t="array" ref="E47">IF($D47="","",$D47*INDEX(Допущения!$C$25:$G$30,MATCH($C47,Допущения!$B$25:$B$30,0),1))</f>
        <v/>
      </c>
      <c r="F47" s="22">
        <f t="array" ref="F47">IF($D47="","",$D47*INDEX(Допущения!$C$25:$G$30,MATCH($C47,Допущения!$B$25:$B$30,0),2))</f>
        <v/>
      </c>
      <c r="G47" s="22">
        <f t="array" ref="G47">IF($D47="","",$D47*INDEX(Допущения!$C$25:$G$30,MATCH($C47,Допущения!$B$25:$B$30,0),3))</f>
        <v/>
      </c>
      <c r="H47" s="22">
        <f t="array" ref="H47">IF($D47="","",$D47*INDEX(Допущения!$C$25:$G$30,MATCH($C47,Допущения!$B$25:$B$30,0),4))</f>
        <v/>
      </c>
      <c r="I47" s="22">
        <f t="array" ref="I47"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(1-Допущения!$C$20)*525600*Допущения!$C$19*Допущения!$C$21</f>
        <v/>
      </c>
      <c r="F53" s="30">
        <f>(1-Допущения!$C$20)*525600*Допущения!$C$19*Допущения!$C$21</f>
        <v/>
      </c>
      <c r="G53" s="30">
        <f>(1-Допущения!$C$20)*525600*Допущения!$C$19*Допущения!$C$21</f>
        <v/>
      </c>
      <c r="H53" s="30">
        <f>(1-Допущения!$C$20)*525600*Допущения!$C$19*Допущения!$C$21</f>
        <v/>
      </c>
      <c r="I53" s="30">
        <f>(1-Допущения!$C$20)*525600*Допущения!$C$19*Допущения!$C$21</f>
        <v/>
      </c>
      <c r="J53" s="22">
        <f>SUM(E53:I53)</f>
        <v/>
      </c>
      <c r="L53" s="12" t="inlineStr">
        <is>
          <t>Расчёт: (1 − SLO) × 525 600 мин/год × стоимость минуты × переключатель. 525 600 — число минут в году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35">
        <f>J51</f>
        <v/>
      </c>
      <c r="F59" s="36" t="n"/>
      <c r="L59" s="12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35">
        <f>J54</f>
        <v/>
      </c>
      <c r="F60" s="36" t="n"/>
      <c r="L60" s="12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35">
        <f>J56</f>
        <v/>
      </c>
      <c r="F61" s="36" t="n"/>
      <c r="L61" s="12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35">
        <f>J51/5</f>
        <v/>
      </c>
      <c r="F62" s="36" t="n"/>
      <c r="L62" s="12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35">
        <f>E15/12</f>
        <v/>
      </c>
      <c r="F63" s="36" t="n"/>
      <c r="L63" s="12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49">
        <f>IF(E15/12&lt;=Допущения!$C$18,"В бюджете CFO","ПРЕВЫШЕНИЕ бюджета")</f>
        <v/>
      </c>
      <c r="F64" s="36" t="n"/>
      <c r="L64" s="12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48">
        <f>IFERROR(J51/SUM(Допущения!$C$8:$G$8),0)</f>
        <v/>
      </c>
      <c r="F65" s="36" t="n"/>
      <c r="L65" s="12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48">
        <f>IFERROR(I51/Допущения!$G$7,0)</f>
        <v/>
      </c>
      <c r="F66" s="36" t="n"/>
      <c r="L66" s="12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47">
        <f>IFERROR(J51/SUM(Допущения!$C$10:$G$10),0)</f>
        <v/>
      </c>
      <c r="F67" s="36" t="n"/>
      <c r="L67" s="12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45">
        <f>IFERROR(J15/J51,0)</f>
        <v/>
      </c>
      <c r="F68" s="36" t="n"/>
      <c r="L68" s="12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45">
        <f>IFERROR(J32/J51,0)</f>
        <v/>
      </c>
      <c r="F69" s="36" t="n"/>
      <c r="L69" s="12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45">
        <f>IFERROR(J40/J51,0)</f>
        <v/>
      </c>
      <c r="F70" s="36" t="n"/>
      <c r="L70" s="12" t="inlineStr">
        <is>
          <t>Как правило, крупнейшая статья</t>
        </is>
      </c>
    </row>
    <row r="71" ht="15.75" customHeight="1" s="33"/>
    <row r="72" ht="15.75" customHeight="1" s="33">
      <c r="B72" s="4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37" t="inlineStr">
        <is>
          <t>Вариант B: превышение бюджета CFO в 3+ раза в год 1, ФОТ требует найма вопреки заморозке. Не реализуем в ограничениях кейса.</t>
        </is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</row>
    <row r="74" ht="15.75" customHeight="1" s="33">
      <c r="B74" s="40" t="n"/>
      <c r="L74" s="41" t="n"/>
    </row>
    <row r="75" ht="15.75" customHeight="1" s="33">
      <c r="B75" s="42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4" t="n"/>
    </row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9:F69"/>
    <mergeCell ref="E66:F66"/>
    <mergeCell ref="E61:F61"/>
    <mergeCell ref="E60:F60"/>
    <mergeCell ref="E70:F70"/>
    <mergeCell ref="E64:F64"/>
    <mergeCell ref="E65:F65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75"/>
  <sheetViews>
    <sheetView tabSelected="1" workbookViewId="0">
      <selection activeCell="L12" sqref="L12"/>
    </sheetView>
  </sheetViews>
  <sheetFormatPr baseColWidth="10" defaultColWidth="14.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6640625" customWidth="1" style="33" min="13" max="26"/>
  </cols>
  <sheetData>
    <row r="2" ht="18" customHeight="1" s="33">
      <c r="B2" s="1" t="inlineStr">
        <is>
          <t>TCO на 5 лет - Africa Delivery - вариант TCO-C1-macro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14400</v>
      </c>
      <c r="E7" s="22">
        <f t="array" ref="E7">IF($D7="","",$D7*INDEX(Допущения!$C$25:$G$30,MATCH($C7,Допущения!$B$25:$B$30,0),1))</f>
        <v/>
      </c>
      <c r="F7" s="22">
        <f t="array" ref="F7">IF($D7="","",$D7*INDEX(Допущения!$C$25:$G$30,MATCH($C7,Допущения!$B$25:$B$30,0),2))</f>
        <v/>
      </c>
      <c r="G7" s="22">
        <f t="array" ref="G7">IF($D7="","",$D7*INDEX(Допущения!$C$25:$G$30,MATCH($C7,Допущения!$B$25:$B$30,0),3))</f>
        <v/>
      </c>
      <c r="H7" s="22">
        <f t="array" ref="H7">IF($D7="","",$D7*INDEX(Допущения!$C$25:$G$30,MATCH($C7,Допущения!$B$25:$B$30,0),4))</f>
        <v/>
      </c>
      <c r="I7" s="22">
        <f t="array" ref="I7"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1 managed K8s кластер, 6-8 нод, 5-7 сервисов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7200</v>
      </c>
      <c r="E8" s="22">
        <f t="array" ref="E8">IF($D8="","",$D8*INDEX(Допущения!$C$25:$G$30,MATCH($C8,Допущения!$B$25:$B$30,0),1))</f>
        <v/>
      </c>
      <c r="F8" s="22">
        <f t="array" ref="F8">IF($D8="","",$D8*INDEX(Допущения!$C$25:$G$30,MATCH($C8,Допущения!$B$25:$B$30,0),2))</f>
        <v/>
      </c>
      <c r="G8" s="22">
        <f t="array" ref="G8">IF($D8="","",$D8*INDEX(Допущения!$C$25:$G$30,MATCH($C8,Допущения!$B$25:$B$30,0),3))</f>
        <v/>
      </c>
      <c r="H8" s="22">
        <f t="array" ref="H8">IF($D8="","",$D8*INDEX(Допущения!$C$25:$G$30,MATCH($C8,Допущения!$B$25:$B$30,0),4))</f>
        <v/>
      </c>
      <c r="I8" s="22">
        <f t="array" ref="I8"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Managed PostgreSQL + реплики, по БД на сервис-кандидат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2400</v>
      </c>
      <c r="E9" s="22">
        <f t="array" ref="E9">IF($D9="","",$D9*INDEX(Допущения!$C$25:$G$30,MATCH($C9,Допущения!$B$25:$B$30,0),1))</f>
        <v/>
      </c>
      <c r="F9" s="22">
        <f t="array" ref="F9">IF($D9="","",$D9*INDEX(Допущения!$C$25:$G$30,MATCH($C9,Допущения!$B$25:$B$30,0),2))</f>
        <v/>
      </c>
      <c r="G9" s="22">
        <f t="array" ref="G9">IF($D9="","",$D9*INDEX(Допущения!$C$25:$G$30,MATCH($C9,Допущения!$B$25:$B$30,0),3))</f>
        <v/>
      </c>
      <c r="H9" s="22">
        <f t="array" ref="H9">IF($D9="","",$D9*INDEX(Допущения!$C$25:$G$30,MATCH($C9,Допущения!$B$25:$B$30,0),4))</f>
        <v/>
      </c>
      <c r="I9" s="22">
        <f t="array" ref="I9"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Хранилище +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4800</v>
      </c>
      <c r="E10" s="22">
        <f t="array" ref="E10">IF($D10="","",$D10*INDEX(Допущения!$C$25:$G$30,MATCH($C10,Допущения!$B$25:$B$30,0),1))</f>
        <v/>
      </c>
      <c r="F10" s="22">
        <f t="array" ref="F10">IF($D10="","",$D10*INDEX(Допущения!$C$25:$G$30,MATCH($C10,Допущения!$B$25:$B$30,0),2))</f>
        <v/>
      </c>
      <c r="G10" s="22">
        <f t="array" ref="G10">IF($D10="","",$D10*INDEX(Допущения!$C$25:$G$30,MATCH($C10,Допущения!$B$25:$B$30,0),3))</f>
        <v/>
      </c>
      <c r="H10" s="22">
        <f t="array" ref="H10">IF($D10="","",$D10*INDEX(Допущения!$C$25:$G$30,MATCH($C10,Допущения!$B$25:$B$30,0),4))</f>
        <v/>
      </c>
      <c r="I10" s="22">
        <f t="array" ref="I10"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CDN и трафик</t>
        </is>
      </c>
    </row>
    <row r="11">
      <c r="B11" s="10" t="inlineStr">
        <is>
          <t>Очереди / стриминг (Kafka, SQS)</t>
        </is>
      </c>
      <c r="C11" s="16" t="inlineStr">
        <is>
          <t>пользователи</t>
        </is>
      </c>
      <c r="D11" s="17" t="n">
        <v>2400</v>
      </c>
      <c r="E11" s="22">
        <f t="array" ref="E11">IF($D11="","",$D11*INDEX(Допущения!$C$25:$G$30,MATCH($C11,Допущения!$B$25:$B$30,0),1))</f>
        <v/>
      </c>
      <c r="F11" s="22">
        <f t="array" ref="F11">IF($D11="","",$D11*INDEX(Допущения!$C$25:$G$30,MATCH($C11,Допущения!$B$25:$B$30,0),2))</f>
        <v/>
      </c>
      <c r="G11" s="22">
        <f t="array" ref="G11">IF($D11="","",$D11*INDEX(Допущения!$C$25:$G$30,MATCH($C11,Допущения!$B$25:$B$30,0),3))</f>
        <v/>
      </c>
      <c r="H11" s="22">
        <f t="array" ref="H11">IF($D11="","",$D11*INDEX(Допущения!$C$25:$G$30,MATCH($C11,Допущения!$B$25:$B$30,0),4))</f>
        <v/>
      </c>
      <c r="I11" s="22">
        <f t="array" ref="I11"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Managed очередь между сервисами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6000</v>
      </c>
      <c r="E12" s="22">
        <f t="array" ref="E12">IF($D12="","",$D12*INDEX(Допущения!$C$25:$G$30,MATCH($C12,Допущения!$B$25:$B$30,0),1))</f>
        <v/>
      </c>
      <c r="F12" s="22">
        <f t="array" ref="F12">IF($D12="","",$D12*INDEX(Допущения!$C$25:$G$30,MATCH($C12,Допущения!$B$25:$B$30,0),2))</f>
        <v/>
      </c>
      <c r="G12" s="22">
        <f t="array" ref="G12">IF($D12="","",$D12*INDEX(Допущения!$C$25:$G$30,MATCH($C12,Допущения!$B$25:$B$30,0),3))</f>
        <v/>
      </c>
      <c r="H12" s="22">
        <f t="array" ref="H12">IF($D12="","",$D12*INDEX(Допущения!$C$25:$G$30,MATCH($C12,Допущения!$B$25:$B$30,0),4))</f>
        <v/>
      </c>
      <c r="I12" s="22">
        <f t="array" ref="I12"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реплики + автоматический failover БД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9600</v>
      </c>
      <c r="E13" s="22">
        <f t="array" ref="E13">IF($D13="","",$D13*INDEX(Допущения!$C$25:$G$30,MATCH($C13,Допущения!$B$25:$B$30,0),1))</f>
        <v/>
      </c>
      <c r="F13" s="22">
        <f t="array" ref="F13">IF($D13="","",$D13*INDEX(Допущения!$C$25:$G$30,MATCH($C13,Допущения!$B$25:$B$30,0),2))</f>
        <v/>
      </c>
      <c r="G13" s="22">
        <f t="array" ref="G13">IF($D13="","",$D13*INDEX(Допущения!$C$25:$G$30,MATCH($C13,Допущения!$B$25:$B$30,0),3))</f>
        <v/>
      </c>
      <c r="H13" s="22">
        <f t="array" ref="H13">IF($D13="","",$D13*INDEX(Допущения!$C$25:$G$30,MATCH($C13,Допущения!$B$25:$B$30,0),4))</f>
        <v/>
      </c>
      <c r="I13" s="22">
        <f t="array" ref="I13"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Локальный провайдер в Нигерии под ПДн (артефакт 3)</t>
        </is>
      </c>
    </row>
    <row r="14">
      <c r="B14" s="10" t="inlineStr">
        <is>
          <t>Аналитическая реплика / витрина (OLAP)</t>
        </is>
      </c>
      <c r="C14" s="16" t="inlineStr">
        <is>
          <t>пользователи</t>
        </is>
      </c>
      <c r="D14" s="17" t="n">
        <v>2400</v>
      </c>
      <c r="E14" s="22" t="n">
        <v>0</v>
      </c>
      <c r="F14" s="22">
        <f t="array" ref="F14">IF($D14="","",$D14*INDEX(Допущения!$C$25:$G$30,MATCH($C14,Допущения!$B$25:$B$30,0),2))</f>
        <v/>
      </c>
      <c r="G14" s="22">
        <f t="array" ref="G14">IF($D14="","",$D14*INDEX(Допущения!$C$25:$G$30,MATCH($C14,Допущения!$B$25:$B$30,0),3))</f>
        <v/>
      </c>
      <c r="H14" s="22">
        <f t="array" ref="H14">IF($D14="","",$D14*INDEX(Допущения!$C$25:$G$30,MATCH($C14,Допущения!$B$25:$B$30,0),4))</f>
        <v/>
      </c>
      <c r="I14" s="22">
        <f t="array" ref="I14">IF($D14="","",$D14*INDEX(Допущения!$C$25:$G$30,MATCH($C14,Допущения!$B$25:$B$30,0),5))</f>
        <v/>
      </c>
      <c r="J14" s="22">
        <f>SUM(E14:I14)</f>
        <v/>
      </c>
      <c r="K14" s="23" t="n"/>
      <c r="L14" s="24" t="inlineStr">
        <is>
          <t>Аналитическая реплика/витрина OLAP - со второго года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6000</v>
      </c>
      <c r="E18" s="22">
        <f t="array" ref="E18">IF($D18="","",$D18*INDEX(Допущения!$C$25:$G$30,MATCH($C18,Допущения!$B$25:$B$30,0),1))</f>
        <v/>
      </c>
      <c r="F18" s="22">
        <f t="array" ref="F18">IF($D18="","",$D18*INDEX(Допущения!$C$25:$G$30,MATCH($C18,Допущения!$B$25:$B$30,0),2))</f>
        <v/>
      </c>
      <c r="G18" s="22">
        <f t="array" ref="G18">IF($D18="","",$D18*INDEX(Допущения!$C$25:$G$30,MATCH($C18,Допущения!$B$25:$B$30,0),3))</f>
        <v/>
      </c>
      <c r="H18" s="22">
        <f t="array" ref="H18">IF($D18="","",$D18*INDEX(Допущения!$C$25:$G$30,MATCH($C18,Допущения!$B$25:$B$30,0),4))</f>
        <v/>
      </c>
      <c r="I18" s="22">
        <f t="array" ref="I18"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Observability на 5-7 сервисов: managed + OSS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3000</v>
      </c>
      <c r="E19" s="22">
        <f t="array" ref="E19">IF($D19="","",$D19*INDEX(Допущения!$C$25:$G$30,MATCH($C19,Допущения!$B$25:$B$30,0),1))</f>
        <v/>
      </c>
      <c r="F19" s="22">
        <f t="array" ref="F19">IF($D19="","",$D19*INDEX(Допущения!$C$25:$G$30,MATCH($C19,Допущения!$B$25:$B$30,0),2))</f>
        <v/>
      </c>
      <c r="G19" s="22">
        <f t="array" ref="G19">IF($D19="","",$D19*INDEX(Допущения!$C$25:$G$30,MATCH($C19,Допущения!$B$25:$B$30,0),3))</f>
        <v/>
      </c>
      <c r="H19" s="22">
        <f t="array" ref="H19">IF($D19="","",$D19*INDEX(Допущения!$C$25:$G$30,MATCH($C19,Допущения!$B$25:$B$30,0),4))</f>
        <v/>
      </c>
      <c r="I19" s="22">
        <f t="array" ref="I19"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Team, 7 пайплайнов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4800</v>
      </c>
      <c r="E20" s="22">
        <f t="array" ref="E20">IF($D20="","",$D20*INDEX(Допущения!$C$25:$G$30,MATCH($C20,Допущения!$B$25:$B$30,0),1))</f>
        <v/>
      </c>
      <c r="F20" s="22">
        <f t="array" ref="F20">IF($D20="","",$D20*INDEX(Допущения!$C$25:$G$30,MATCH($C20,Допущения!$B$25:$B$30,0),2))</f>
        <v/>
      </c>
      <c r="G20" s="22">
        <f t="array" ref="G20">IF($D20="","",$D20*INDEX(Допущения!$C$25:$G$30,MATCH($C20,Допущения!$B$25:$B$30,0),3))</f>
        <v/>
      </c>
      <c r="H20" s="22">
        <f t="array" ref="H20">IF($D20="","",$D20*INDEX(Допущения!$C$25:$G$30,MATCH($C20,Допущения!$B$25:$B$30,0),4))</f>
        <v/>
      </c>
      <c r="I20" s="22">
        <f t="array" ref="I20"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3000</v>
      </c>
      <c r="E21" s="22">
        <f t="array" ref="E21">IF($D21="","",$D21*INDEX(Допущения!$C$25:$G$30,MATCH($C21,Допущения!$B$25:$B$30,0),1))</f>
        <v/>
      </c>
      <c r="F21" s="22">
        <f t="array" ref="F21">IF($D21="","",$D21*INDEX(Допущения!$C$25:$G$30,MATCH($C21,Допущения!$B$25:$B$30,0),2))</f>
        <v/>
      </c>
      <c r="G21" s="22">
        <f t="array" ref="G21">IF($D21="","",$D21*INDEX(Допущения!$C$25:$G$30,MATCH($C21,Допущения!$B$25:$B$30,0),3))</f>
        <v/>
      </c>
      <c r="H21" s="22">
        <f t="array" ref="H21">IF($D21="","",$D21*INDEX(Допущения!$C$25:$G$30,MATCH($C21,Допущения!$B$25:$B$30,0),4))</f>
        <v/>
      </c>
      <c r="I21" s="22">
        <f t="array" ref="I21"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2400</v>
      </c>
      <c r="E22" s="22">
        <f t="array" ref="E22">IF($D22="","",$D22*INDEX(Допущения!$C$25:$G$30,MATCH($C22,Допущения!$B$25:$B$30,0),1))</f>
        <v/>
      </c>
      <c r="F22" s="22">
        <f t="array" ref="F22">IF($D22="","",$D22*INDEX(Допущения!$C$25:$G$30,MATCH($C22,Допущения!$B$25:$B$30,0),2))</f>
        <v/>
      </c>
      <c r="G22" s="22">
        <f t="array" ref="G22">IF($D22="","",$D22*INDEX(Допущения!$C$25:$G$30,MATCH($C22,Допущения!$B$25:$B$30,0),3))</f>
        <v/>
      </c>
      <c r="H22" s="22">
        <f t="array" ref="H22">IF($D22="","",$D22*INDEX(Допущения!$C$25:$G$30,MATCH($C22,Допущения!$B$25:$B$30,0),4))</f>
        <v/>
      </c>
      <c r="I22" s="22">
        <f t="array" ref="I22"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Прочее ПО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 t="array" ref="E23">IF($D23="","",$D23*INDEX(Допущения!$C$25:$G$30,MATCH($C23,Допущения!$B$25:$B$30,0),1))</f>
        <v/>
      </c>
      <c r="F23" s="22">
        <f t="array" ref="F23">IF($D23="","",$D23*INDEX(Допущения!$C$25:$G$30,MATCH($C23,Допущения!$B$25:$B$30,0),2))</f>
        <v/>
      </c>
      <c r="G23" s="22">
        <f t="array" ref="G23">IF($D23="","",$D23*INDEX(Допущения!$C$25:$G$30,MATCH($C23,Допущения!$B$25:$B$30,0),3))</f>
        <v/>
      </c>
      <c r="H23" s="22">
        <f t="array" ref="H23">IF($D23="","",$D23*INDEX(Допущения!$C$25:$G$30,MATCH($C23,Допущения!$B$25:$B$30,0),4))</f>
        <v/>
      </c>
      <c r="I23" s="22">
        <f t="array" ref="I23"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100800</v>
      </c>
      <c r="E27" s="22">
        <f t="array" ref="E27">IF($D27="","",$D27*INDEX(Допущения!$C$25:$G$30,MATCH($C27,Допущения!$B$25:$B$30,0),1))</f>
        <v/>
      </c>
      <c r="F27" s="22">
        <f t="array" ref="F27">IF($D27="","",$D27*INDEX(Допущения!$C$25:$G$30,MATCH($C27,Допущения!$B$25:$B$30,0),2))</f>
        <v/>
      </c>
      <c r="G27" s="22">
        <f t="array" ref="G27">IF($D27="","",$D27*INDEX(Допущения!$C$25:$G$30,MATCH($C27,Допущения!$B$25:$B$30,0),3))</f>
        <v/>
      </c>
      <c r="H27" s="22">
        <f t="array" ref="H27">IF($D27="","",$D27*INDEX(Допущения!$C$25:$G$30,MATCH($C27,Допущения!$B$25:$B$30,0),4))</f>
        <v/>
      </c>
      <c r="I27" s="22">
        <f t="array" ref="I27"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Идентично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16000</v>
      </c>
      <c r="E28" s="22">
        <f t="array" ref="E28">IF($D28="","",$D28*INDEX(Допущения!$C$25:$G$30,MATCH($C28,Допущения!$B$25:$B$30,0),1))</f>
        <v/>
      </c>
      <c r="F28" s="22">
        <f t="array" ref="F28">IF($D28="","",$D28*INDEX(Допущения!$C$25:$G$30,MATCH($C28,Допущения!$B$25:$B$30,0),2))</f>
        <v/>
      </c>
      <c r="G28" s="22">
        <f t="array" ref="G28">IF($D28="","",$D28*INDEX(Допущения!$C$25:$G$30,MATCH($C28,Допущения!$B$25:$B$30,0),3))</f>
        <v/>
      </c>
      <c r="H28" s="22">
        <f t="array" ref="H28">IF($D28="","",$D28*INDEX(Допущения!$C$25:$G$30,MATCH($C28,Допущения!$B$25:$B$30,0),4))</f>
        <v/>
      </c>
      <c r="I28" s="22">
        <f t="array" ref="I28"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Идентично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6000</v>
      </c>
      <c r="E29" s="22">
        <f t="array" ref="E29">IF($D29="","",$D29*INDEX(Допущения!$C$25:$G$30,MATCH($C29,Допущения!$B$25:$B$30,0),1))</f>
        <v/>
      </c>
      <c r="F29" s="22">
        <f t="array" ref="F29">IF($D29="","",$D29*INDEX(Допущения!$C$25:$G$30,MATCH($C29,Допущения!$B$25:$B$30,0),2))</f>
        <v/>
      </c>
      <c r="G29" s="22">
        <f t="array" ref="G29">IF($D29="","",$D29*INDEX(Допущения!$C$25:$G$30,MATCH($C29,Допущения!$B$25:$B$30,0),3))</f>
        <v/>
      </c>
      <c r="H29" s="22">
        <f t="array" ref="H29">IF($D29="","",$D29*INDEX(Допущения!$C$25:$G$30,MATCH($C29,Допущения!$B$25:$B$30,0),4))</f>
        <v/>
      </c>
      <c r="I29" s="22">
        <f t="array" ref="I29"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Идентично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100000</v>
      </c>
      <c r="E30" s="22">
        <f t="array" ref="E30">IF($D30="","",$D30*INDEX(Допущения!$C$25:$G$30,MATCH($C30,Допущения!$B$25:$B$30,0),1))</f>
        <v/>
      </c>
      <c r="F30" s="22">
        <f t="array" ref="F30">IF($D30="","",$D30*INDEX(Допущения!$C$25:$G$30,MATCH($C30,Допущения!$B$25:$B$30,0),2))</f>
        <v/>
      </c>
      <c r="G30" s="22">
        <f t="array" ref="G30">IF($D30="","",$D30*INDEX(Допущения!$C$25:$G$30,MATCH($C30,Допущения!$B$25:$B$30,0),3))</f>
        <v/>
      </c>
      <c r="H30" s="22">
        <f t="array" ref="H30">IF($D30="","",$D30*INDEX(Допущения!$C$25:$G$30,MATCH($C30,Допущения!$B$25:$B$30,0),4))</f>
        <v/>
      </c>
      <c r="I30" s="22">
        <f t="array" ref="I30"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Идентично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 t="array" ref="E31">IF($D31="","",$D31*INDEX(Допущения!$C$25:$G$30,MATCH($C31,Допущения!$B$25:$B$30,0),1))</f>
        <v/>
      </c>
      <c r="F31" s="22">
        <f t="array" ref="F31">IF($D31="","",$D31*INDEX(Допущения!$C$25:$G$30,MATCH($C31,Допущения!$B$25:$B$30,0),2))</f>
        <v/>
      </c>
      <c r="G31" s="22">
        <f t="array" ref="G31">IF($D31="","",$D31*INDEX(Допущения!$C$25:$G$30,MATCH($C31,Допущения!$B$25:$B$30,0),3))</f>
        <v/>
      </c>
      <c r="H31" s="22">
        <f t="array" ref="H31">IF($D31="","",$D31*INDEX(Допущения!$C$25:$G$30,MATCH($C31,Допущения!$B$25:$B$30,0),4))</f>
        <v/>
      </c>
      <c r="I31" s="22">
        <f t="array" ref="I31"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455000</v>
      </c>
      <c r="E35" s="22">
        <f t="array" ref="E35">IF($D35="","",$D35*INDEX(Допущения!$C$25:$G$30,MATCH($C35,Допущения!$B$25:$B$30,0),1))</f>
        <v/>
      </c>
      <c r="F35" s="22">
        <f t="array" ref="F35">IF($D35="","",$D35*INDEX(Допущения!$C$25:$G$30,MATCH($C35,Допущения!$B$25:$B$30,0),2))</f>
        <v/>
      </c>
      <c r="G35" s="22">
        <f t="array" ref="G35">IF($D35="","",$D35*INDEX(Допущения!$C$25:$G$30,MATCH($C35,Допущения!$B$25:$B$30,0),3))</f>
        <v/>
      </c>
      <c r="H35" s="22">
        <f t="array" ref="H35">IF($D35="","",$D35*INDEX(Допущения!$C$25:$G$30,MATCH($C35,Допущения!$B$25:$B$30,0),4))</f>
        <v/>
      </c>
      <c r="I35" s="22">
        <f t="array" ref="I35"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7 разработчиков x $65k - +1 к штату CFO, требует согласования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80000</v>
      </c>
      <c r="E36" s="22">
        <f t="array" ref="E36">IF($D36="","",$D36*INDEX(Допущения!$C$25:$G$30,MATCH($C36,Допущения!$B$25:$B$30,0),1))</f>
        <v/>
      </c>
      <c r="F36" s="22">
        <f t="array" ref="F36">IF($D36="","",$D36*INDEX(Допущения!$C$25:$G$30,MATCH($C36,Допущения!$B$25:$B$30,0),2))</f>
        <v/>
      </c>
      <c r="G36" s="22">
        <f t="array" ref="G36">IF($D36="","",$D36*INDEX(Допущения!$C$25:$G$30,MATCH($C36,Допущения!$B$25:$B$30,0),3))</f>
        <v/>
      </c>
      <c r="H36" s="22">
        <f t="array" ref="H36">IF($D36="","",$D36*INDEX(Допущения!$C$25:$G$30,MATCH($C36,Допущения!$B$25:$B$30,0),4))</f>
        <v/>
      </c>
      <c r="I36" s="22">
        <f t="array" ref="I36"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1 SRE x $80k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36000</v>
      </c>
      <c r="E37" s="22">
        <f t="array" ref="E37">IF($D37="","",$D37*INDEX(Допущения!$C$25:$G$30,MATCH($C37,Допущения!$B$25:$B$30,0),1))</f>
        <v/>
      </c>
      <c r="F37" s="22">
        <f t="array" ref="F37">IF($D37="","",$D37*INDEX(Допущения!$C$25:$G$30,MATCH($C37,Допущения!$B$25:$B$30,0),2))</f>
        <v/>
      </c>
      <c r="G37" s="22">
        <f t="array" ref="G37">IF($D37="","",$D37*INDEX(Допущения!$C$25:$G$30,MATCH($C37,Допущения!$B$25:$B$30,0),3))</f>
        <v/>
      </c>
      <c r="H37" s="22">
        <f t="array" ref="H37">IF($D37="","",$D37*INDEX(Допущения!$C$25:$G$30,MATCH($C37,Допущения!$B$25:$B$30,0),4))</f>
        <v/>
      </c>
      <c r="I37" s="22">
        <f t="array" ref="I37"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Дежурства с подменой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135000</v>
      </c>
      <c r="E38" s="22">
        <f t="array" ref="E38">IF($D38="","",$D38*INDEX(Допущения!$C$25:$G$30,MATCH($C38,Допущения!$B$25:$B$30,0),1))</f>
        <v/>
      </c>
      <c r="F38" s="22">
        <f t="array" ref="F38">IF($D38="","",$D38*INDEX(Допущения!$C$25:$G$30,MATCH($C38,Допущения!$B$25:$B$30,0),2))</f>
        <v/>
      </c>
      <c r="G38" s="22">
        <f t="array" ref="G38">IF($D38="","",$D38*INDEX(Допущения!$C$25:$G$30,MATCH($C38,Допущения!$B$25:$B$30,0),3))</f>
        <v/>
      </c>
      <c r="H38" s="22">
        <f t="array" ref="H38">IF($D38="","",$D38*INDEX(Допущения!$C$25:$G$30,MATCH($C38,Допущения!$B$25:$B$30,0),4))</f>
        <v/>
      </c>
      <c r="I38" s="22">
        <f t="array" ref="I38"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SA + CTO-функция + часть PM</t>
        </is>
      </c>
    </row>
    <row r="39" ht="15.75" customHeight="1" s="33">
      <c r="B39" s="10" t="n"/>
      <c r="C39" s="16" t="inlineStr">
        <is>
          <t>фикс</t>
        </is>
      </c>
      <c r="D39" s="17" t="n"/>
      <c r="E39" s="22">
        <f t="array" ref="E39">IF($D39="","",$D39*INDEX(Допущения!$C$25:$G$30,MATCH($C39,Допущения!$B$25:$B$30,0),1))</f>
        <v/>
      </c>
      <c r="F39" s="22">
        <f t="array" ref="F39">IF($D39="","",$D39*INDEX(Допущения!$C$25:$G$30,MATCH($C39,Допущения!$B$25:$B$30,0),2))</f>
        <v/>
      </c>
      <c r="G39" s="22">
        <f t="array" ref="G39">IF($D39="","",$D39*INDEX(Допущения!$C$25:$G$30,MATCH($C39,Допущения!$B$25:$B$30,0),3))</f>
        <v/>
      </c>
      <c r="H39" s="22">
        <f t="array" ref="H39">IF($D39="","",$D39*INDEX(Допущения!$C$25:$G$30,MATCH($C39,Допущения!$B$25:$B$30,0),4))</f>
        <v/>
      </c>
      <c r="I39" s="22">
        <f t="array" ref="I39">IF($D39="","",$D39*INDEX(Допущения!$C$25:$G$30,MATCH($C39,Допущения!$B$25:$B$30,0),5))</f>
        <v/>
      </c>
      <c r="J39" s="22">
        <f>SUM(E39:I39)</f>
        <v/>
      </c>
      <c r="K39" s="23" t="n"/>
      <c r="L39" s="24" t="inlineStr">
        <is>
          <t>Своя статья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 t="array" ref="E43">IF($D43="","",$D43*INDEX(Допущения!$C$25:$G$30,MATCH($C43,Допущения!$B$25:$B$30,0),1))</f>
        <v/>
      </c>
      <c r="F43" s="22" t="n">
        <v>0</v>
      </c>
      <c r="G43" s="22" t="n">
        <v>0</v>
      </c>
      <c r="H43" s="22" t="n">
        <v>0</v>
      </c>
      <c r="I43" s="22" t="n">
        <v>0</v>
      </c>
      <c r="J43" s="22">
        <f>SUM(E43:I43)</f>
        <v/>
      </c>
      <c r="K43" s="23" t="n"/>
      <c r="L43" s="24" t="inlineStr">
        <is>
          <t>Комплаенс-аудит, разовый (год 1)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15000</v>
      </c>
      <c r="E44" s="22">
        <f t="array" ref="E44">IF($D44="","",$D44*INDEX(Допущения!$C$25:$G$30,MATCH($C44,Допущения!$B$25:$B$30,0),1))</f>
        <v/>
      </c>
      <c r="F44" s="22">
        <f t="array" ref="F44">IF($D44="","",$D44*INDEX(Допущения!$C$25:$G$30,MATCH($C44,Допущения!$B$25:$B$30,0),2))</f>
        <v/>
      </c>
      <c r="G44" s="22">
        <f t="array" ref="G44">IF($D44="","",$D44*INDEX(Допущения!$C$25:$G$30,MATCH($C44,Допущения!$B$25:$B$30,0),3))</f>
        <v/>
      </c>
      <c r="H44" s="22">
        <f t="array" ref="H44">IF($D44="","",$D44*INDEX(Допущения!$C$25:$G$30,MATCH($C44,Допущения!$B$25:$B$30,0),4))</f>
        <v/>
      </c>
      <c r="I44" s="22">
        <f t="array" ref="I44"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Пентест ежегодно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35000</v>
      </c>
      <c r="E45" s="22">
        <f t="array" ref="E45">IF($D45="","",$D45*INDEX(Допущения!$C$25:$G$30,MATCH($C45,Допущения!$B$25:$B$30,0),1))</f>
        <v/>
      </c>
      <c r="F45" s="22" t="n">
        <v>0</v>
      </c>
      <c r="G45" s="22" t="n">
        <v>0</v>
      </c>
      <c r="H45" s="22" t="n">
        <v>0</v>
      </c>
      <c r="I45" s="22" t="n">
        <v>0</v>
      </c>
      <c r="J45" s="22">
        <f>SUM(E45:I45)</f>
        <v/>
      </c>
      <c r="K45" s="23" t="n"/>
      <c r="L45" s="24" t="inlineStr">
        <is>
          <t>Интеграции + построение сервисной платформы (год 1)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ФОТ</t>
        </is>
      </c>
      <c r="D46" s="17" t="n">
        <v>15000</v>
      </c>
      <c r="E46" s="22">
        <f t="array" ref="E46">IF($D46="","",$D46*INDEX(Допущения!$C$25:$G$30,MATCH($C46,Допущения!$B$25:$B$30,0),1))</f>
        <v/>
      </c>
      <c r="F46" s="22">
        <f t="array" ref="F46">IF($D46="","",$D46*INDEX(Допущения!$C$25:$G$30,MATCH($C46,Допущения!$B$25:$B$30,0),2))</f>
        <v/>
      </c>
      <c r="G46" s="22">
        <f t="array" ref="G46">IF($D46="","",$D46*INDEX(Допущения!$C$25:$G$30,MATCH($C46,Допущения!$B$25:$B$30,0),3))</f>
        <v/>
      </c>
      <c r="H46" s="22">
        <f t="array" ref="H46">IF($D46="","",$D46*INDEX(Допущения!$C$25:$G$30,MATCH($C46,Допущения!$B$25:$B$30,0),4))</f>
        <v/>
      </c>
      <c r="I46" s="22">
        <f t="array" ref="I46">IF($D46="","",$D46*INDEX(Допущения!$C$25:$G$30,MATCH($C46,Допущения!$B$25:$B$30,0),5))</f>
        <v/>
      </c>
      <c r="J46" s="22">
        <f>SUM(E46:I46)</f>
        <v/>
      </c>
      <c r="K46" s="23" t="n"/>
      <c r="L46" s="24" t="inlineStr">
        <is>
          <t>Обучение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 t="array" ref="E47">IF($D47="","",$D47*INDEX(Допущения!$C$25:$G$30,MATCH($C47,Допущения!$B$25:$B$30,0),1))</f>
        <v/>
      </c>
      <c r="F47" s="22">
        <f t="array" ref="F47">IF($D47="","",$D47*INDEX(Допущения!$C$25:$G$30,MATCH($C47,Допущения!$B$25:$B$30,0),2))</f>
        <v/>
      </c>
      <c r="G47" s="22">
        <f t="array" ref="G47">IF($D47="","",$D47*INDEX(Допущения!$C$25:$G$30,MATCH($C47,Допущения!$B$25:$B$30,0),3))</f>
        <v/>
      </c>
      <c r="H47" s="22">
        <f t="array" ref="H47">IF($D47="","",$D47*INDEX(Допущения!$C$25:$G$30,MATCH($C47,Допущения!$B$25:$B$30,0),4))</f>
        <v/>
      </c>
      <c r="I47" s="22">
        <f t="array" ref="I47"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(1-Допущения!$C$20)*525600*Допущения!$C$19*Допущения!$C$21</f>
        <v/>
      </c>
      <c r="F53" s="30">
        <f>(1-Допущения!$C$20)*525600*Допущения!$C$19*Допущения!$C$21</f>
        <v/>
      </c>
      <c r="G53" s="30">
        <f>(1-Допущения!$C$20)*525600*Допущения!$C$19*Допущения!$C$21</f>
        <v/>
      </c>
      <c r="H53" s="30">
        <f>(1-Допущения!$C$20)*525600*Допущения!$C$19*Допущения!$C$21</f>
        <v/>
      </c>
      <c r="I53" s="30">
        <f>(1-Допущения!$C$20)*525600*Допущения!$C$19*Допущения!$C$21</f>
        <v/>
      </c>
      <c r="J53" s="22">
        <f>SUM(E53:I53)</f>
        <v/>
      </c>
      <c r="L53" s="12" t="inlineStr">
        <is>
          <t>Расчёт: (1 − SLO) × 525 600 мин/год × стоимость минуты × переключатель. 525 600 — число минут в году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35">
        <f>J51</f>
        <v/>
      </c>
      <c r="F59" s="36" t="n"/>
      <c r="L59" s="12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35">
        <f>J54</f>
        <v/>
      </c>
      <c r="F60" s="36" t="n"/>
      <c r="L60" s="12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35">
        <f>J56</f>
        <v/>
      </c>
      <c r="F61" s="36" t="n"/>
      <c r="L61" s="12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35">
        <f>J51/5</f>
        <v/>
      </c>
      <c r="F62" s="36" t="n"/>
      <c r="L62" s="12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35">
        <f>E15/12</f>
        <v/>
      </c>
      <c r="F63" s="36" t="n"/>
      <c r="L63" s="12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49">
        <f>IF(E15/12&lt;=Допущения!$C$18,"В бюджете CFO","ПРЕВЫШЕНИЕ бюджета")</f>
        <v/>
      </c>
      <c r="F64" s="36" t="n"/>
      <c r="L64" s="12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48">
        <f>IFERROR(J51/SUM(Допущения!$C$8:$G$8),0)</f>
        <v/>
      </c>
      <c r="F65" s="36" t="n"/>
      <c r="L65" s="12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48">
        <f>IFERROR(I51/Допущения!$G$7,0)</f>
        <v/>
      </c>
      <c r="F66" s="36" t="n"/>
      <c r="L66" s="12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47">
        <f>IFERROR(J51/SUM(Допущения!$C$10:$G$10),0)</f>
        <v/>
      </c>
      <c r="F67" s="36" t="n"/>
      <c r="L67" s="12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45">
        <f>IFERROR(J15/J51,0)</f>
        <v/>
      </c>
      <c r="F68" s="36" t="n"/>
      <c r="L68" s="12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45">
        <f>IFERROR(J32/J51,0)</f>
        <v/>
      </c>
      <c r="F69" s="36" t="n"/>
      <c r="L69" s="12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45">
        <f>IFERROR(J40/J51,0)</f>
        <v/>
      </c>
      <c r="F70" s="36" t="n"/>
      <c r="L70" s="12" t="inlineStr">
        <is>
          <t>Как правило, крупнейшая статья</t>
        </is>
      </c>
    </row>
    <row r="71" ht="15.75" customHeight="1" s="33"/>
    <row r="72" ht="15.75" customHeight="1" s="33">
      <c r="B72" s="4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37" t="inlineStr">
        <is>
          <t>Вариант C1: дороже A на ~$200k/год (ФОТ+SRE+K8s), ценность независимого масштабирования не востребована на пилоте.</t>
        </is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</row>
    <row r="74" ht="15.75" customHeight="1" s="33">
      <c r="B74" s="40" t="n"/>
      <c r="L74" s="41" t="n"/>
    </row>
    <row r="75" ht="15.75" customHeight="1" s="33">
      <c r="B75" s="42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4" t="n"/>
    </row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9:F69"/>
    <mergeCell ref="E66:F66"/>
    <mergeCell ref="E61:F61"/>
    <mergeCell ref="E60:F60"/>
    <mergeCell ref="E70:F70"/>
    <mergeCell ref="E64:F64"/>
    <mergeCell ref="E65:F65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2026-08-24T07:50:39Z</dcterms:created>
  <dcterms:modified xsi:type="dcterms:W3CDTF">2026-09-26T06:27:23Z</dcterms:modified>
  <cp:lastModifiedBy>Povalikhin.go</cp:lastModifiedBy>
</cp:coreProperties>
</file>